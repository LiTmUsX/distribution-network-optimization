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9B1BB77-5CEB-4DB2-80DE-9600CD51CC4F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ReadMe" sheetId="1" r:id="rId1"/>
    <sheet name="Sensitivity Calculator" sheetId="2" r:id="rId2"/>
    <sheet name="Freight Quoting Tool" sheetId="3" r:id="rId3"/>
    <sheet name="Solver Demo (3x4)" sheetId="4" r:id="rId4"/>
    <sheet name="Solver Demo - Answer Key" sheetId="5" r:id="rId5"/>
    <sheet name="Data - Plants" sheetId="6" r:id="rId6"/>
    <sheet name="Data - Zones" sheetId="7" r:id="rId7"/>
    <sheet name="Data - Lane Distances" sheetId="8" r:id="rId8"/>
    <sheet name="Data - Freight Rates" sheetId="9" r:id="rId9"/>
  </sheets>
  <definedNames>
    <definedName name="Quote_2Day">'Freight Quoting Tool'!$B$8</definedName>
    <definedName name="Quote_Port">'Freight Quoting Tool'!$B$14</definedName>
    <definedName name="Quote_USDINR">'Freight Quoting Tool'!$B$9</definedName>
    <definedName name="Quote_Weight">'Freight Quoting Tool'!$B$7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9" i="9" l="1"/>
  <c r="L93" i="9"/>
  <c r="L77" i="9"/>
  <c r="L61" i="9"/>
  <c r="L45" i="9"/>
  <c r="L29" i="9"/>
  <c r="L13" i="9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B17" i="3" s="1"/>
  <c r="E4" i="8"/>
  <c r="E3" i="8"/>
  <c r="E2" i="8"/>
  <c r="B29" i="4"/>
  <c r="E27" i="4"/>
  <c r="D27" i="4"/>
  <c r="C27" i="4"/>
  <c r="B27" i="4"/>
  <c r="C24" i="4"/>
  <c r="C23" i="4"/>
  <c r="C22" i="4"/>
  <c r="E20" i="4"/>
  <c r="D20" i="4"/>
  <c r="C20" i="4"/>
  <c r="B23" i="4" s="1"/>
  <c r="D23" i="4" s="1"/>
  <c r="B20" i="4"/>
  <c r="B22" i="4" s="1"/>
  <c r="D22" i="4" s="1"/>
  <c r="B18" i="3"/>
  <c r="B19" i="3" s="1"/>
  <c r="B14" i="3"/>
  <c r="L117" i="9" s="1"/>
  <c r="R33" i="2"/>
  <c r="P30" i="2"/>
  <c r="M30" i="2"/>
  <c r="L30" i="2"/>
  <c r="N30" i="2" s="1"/>
  <c r="O30" i="2" s="1"/>
  <c r="Q30" i="2" s="1"/>
  <c r="R30" i="2" s="1"/>
  <c r="R29" i="2"/>
  <c r="P29" i="2"/>
  <c r="N29" i="2"/>
  <c r="O29" i="2" s="1"/>
  <c r="Q29" i="2" s="1"/>
  <c r="M29" i="2"/>
  <c r="L29" i="2"/>
  <c r="P28" i="2"/>
  <c r="N28" i="2"/>
  <c r="M28" i="2"/>
  <c r="O28" i="2" s="1"/>
  <c r="Q28" i="2" s="1"/>
  <c r="R28" i="2" s="1"/>
  <c r="L28" i="2"/>
  <c r="P27" i="2"/>
  <c r="M27" i="2"/>
  <c r="L27" i="2"/>
  <c r="N27" i="2" s="1"/>
  <c r="P26" i="2"/>
  <c r="M26" i="2"/>
  <c r="L26" i="2"/>
  <c r="N26" i="2" s="1"/>
  <c r="O26" i="2" s="1"/>
  <c r="Q26" i="2" s="1"/>
  <c r="R26" i="2" s="1"/>
  <c r="P25" i="2"/>
  <c r="N25" i="2"/>
  <c r="O25" i="2" s="1"/>
  <c r="Q25" i="2" s="1"/>
  <c r="R25" i="2" s="1"/>
  <c r="M25" i="2"/>
  <c r="L25" i="2"/>
  <c r="P24" i="2"/>
  <c r="N24" i="2"/>
  <c r="M24" i="2"/>
  <c r="O24" i="2" s="1"/>
  <c r="Q24" i="2" s="1"/>
  <c r="R24" i="2" s="1"/>
  <c r="L24" i="2"/>
  <c r="P23" i="2"/>
  <c r="M23" i="2"/>
  <c r="O23" i="2" s="1"/>
  <c r="Q23" i="2" s="1"/>
  <c r="R23" i="2" s="1"/>
  <c r="L23" i="2"/>
  <c r="N23" i="2" s="1"/>
  <c r="P22" i="2"/>
  <c r="O22" i="2"/>
  <c r="Q22" i="2" s="1"/>
  <c r="R22" i="2" s="1"/>
  <c r="M22" i="2"/>
  <c r="L22" i="2"/>
  <c r="N22" i="2" s="1"/>
  <c r="P21" i="2"/>
  <c r="N21" i="2"/>
  <c r="O21" i="2" s="1"/>
  <c r="Q21" i="2" s="1"/>
  <c r="R21" i="2" s="1"/>
  <c r="M21" i="2"/>
  <c r="L21" i="2"/>
  <c r="Q20" i="2"/>
  <c r="R20" i="2" s="1"/>
  <c r="P20" i="2"/>
  <c r="N20" i="2"/>
  <c r="M20" i="2"/>
  <c r="O20" i="2" s="1"/>
  <c r="L20" i="2"/>
  <c r="P19" i="2"/>
  <c r="M19" i="2"/>
  <c r="O19" i="2" s="1"/>
  <c r="L19" i="2"/>
  <c r="N19" i="2" s="1"/>
  <c r="P18" i="2"/>
  <c r="O18" i="2"/>
  <c r="Q18" i="2" s="1"/>
  <c r="R18" i="2" s="1"/>
  <c r="M18" i="2"/>
  <c r="L18" i="2"/>
  <c r="N18" i="2" s="1"/>
  <c r="R17" i="2"/>
  <c r="P17" i="2"/>
  <c r="N17" i="2"/>
  <c r="O17" i="2" s="1"/>
  <c r="Q17" i="2" s="1"/>
  <c r="M17" i="2"/>
  <c r="L17" i="2"/>
  <c r="Q16" i="2"/>
  <c r="R16" i="2" s="1"/>
  <c r="P16" i="2"/>
  <c r="N16" i="2"/>
  <c r="M16" i="2"/>
  <c r="O16" i="2" s="1"/>
  <c r="L16" i="2"/>
  <c r="P15" i="2"/>
  <c r="M15" i="2"/>
  <c r="L15" i="2"/>
  <c r="N15" i="2" s="1"/>
  <c r="P14" i="2"/>
  <c r="M14" i="2"/>
  <c r="L14" i="2"/>
  <c r="N14" i="2" s="1"/>
  <c r="O14" i="2" s="1"/>
  <c r="Q14" i="2" s="1"/>
  <c r="R14" i="2" s="1"/>
  <c r="R13" i="2"/>
  <c r="P13" i="2"/>
  <c r="N13" i="2"/>
  <c r="O13" i="2" s="1"/>
  <c r="Q13" i="2" s="1"/>
  <c r="M13" i="2"/>
  <c r="L13" i="2"/>
  <c r="B9" i="2"/>
  <c r="L17" i="9" l="1"/>
  <c r="L33" i="9"/>
  <c r="L49" i="9"/>
  <c r="L65" i="9"/>
  <c r="L81" i="9"/>
  <c r="L97" i="9"/>
  <c r="L113" i="9"/>
  <c r="O15" i="2"/>
  <c r="Q15" i="2" s="1"/>
  <c r="R15" i="2" s="1"/>
  <c r="R32" i="2" s="1"/>
  <c r="R35" i="2" s="1"/>
  <c r="R36" i="2" s="1"/>
  <c r="L5" i="9"/>
  <c r="L21" i="9"/>
  <c r="L37" i="9"/>
  <c r="L53" i="9"/>
  <c r="L69" i="9"/>
  <c r="L85" i="9"/>
  <c r="L101" i="9"/>
  <c r="O27" i="2"/>
  <c r="Q27" i="2" s="1"/>
  <c r="R27" i="2" s="1"/>
  <c r="Q19" i="2"/>
  <c r="R19" i="2" s="1"/>
  <c r="L1541" i="9"/>
  <c r="L1537" i="9"/>
  <c r="L1533" i="9"/>
  <c r="L1529" i="9"/>
  <c r="L1525" i="9"/>
  <c r="L1521" i="9"/>
  <c r="L1517" i="9"/>
  <c r="L1513" i="9"/>
  <c r="L1509" i="9"/>
  <c r="L1505" i="9"/>
  <c r="L1501" i="9"/>
  <c r="L1497" i="9"/>
  <c r="L1493" i="9"/>
  <c r="L1489" i="9"/>
  <c r="L1485" i="9"/>
  <c r="L1481" i="9"/>
  <c r="L1477" i="9"/>
  <c r="L1473" i="9"/>
  <c r="L1469" i="9"/>
  <c r="L1465" i="9"/>
  <c r="L1461" i="9"/>
  <c r="L1457" i="9"/>
  <c r="L1453" i="9"/>
  <c r="L1449" i="9"/>
  <c r="L1445" i="9"/>
  <c r="L1441" i="9"/>
  <c r="L1437" i="9"/>
  <c r="L1433" i="9"/>
  <c r="L1429" i="9"/>
  <c r="L1425" i="9"/>
  <c r="L1421" i="9"/>
  <c r="L1417" i="9"/>
  <c r="L1413" i="9"/>
  <c r="L1409" i="9"/>
  <c r="L1405" i="9"/>
  <c r="L1401" i="9"/>
  <c r="L1397" i="9"/>
  <c r="L1393" i="9"/>
  <c r="L1389" i="9"/>
  <c r="L1385" i="9"/>
  <c r="L1381" i="9"/>
  <c r="L1377" i="9"/>
  <c r="L1373" i="9"/>
  <c r="L1369" i="9"/>
  <c r="L1365" i="9"/>
  <c r="L1361" i="9"/>
  <c r="L1357" i="9"/>
  <c r="L1353" i="9"/>
  <c r="L1540" i="9"/>
  <c r="L1536" i="9"/>
  <c r="L1532" i="9"/>
  <c r="L1528" i="9"/>
  <c r="L1524" i="9"/>
  <c r="L1520" i="9"/>
  <c r="L1516" i="9"/>
  <c r="L1512" i="9"/>
  <c r="L1508" i="9"/>
  <c r="L1504" i="9"/>
  <c r="L1500" i="9"/>
  <c r="L1496" i="9"/>
  <c r="L1492" i="9"/>
  <c r="L1488" i="9"/>
  <c r="L1484" i="9"/>
  <c r="L1480" i="9"/>
  <c r="L1476" i="9"/>
  <c r="L1472" i="9"/>
  <c r="L1468" i="9"/>
  <c r="L1464" i="9"/>
  <c r="L1460" i="9"/>
  <c r="L1456" i="9"/>
  <c r="L1452" i="9"/>
  <c r="L1448" i="9"/>
  <c r="L1444" i="9"/>
  <c r="L1440" i="9"/>
  <c r="L1436" i="9"/>
  <c r="L1432" i="9"/>
  <c r="L1428" i="9"/>
  <c r="L1424" i="9"/>
  <c r="L1420" i="9"/>
  <c r="L1416" i="9"/>
  <c r="L1412" i="9"/>
  <c r="L1408" i="9"/>
  <c r="L1404" i="9"/>
  <c r="L1400" i="9"/>
  <c r="L1396" i="9"/>
  <c r="L1392" i="9"/>
  <c r="L1388" i="9"/>
  <c r="L1384" i="9"/>
  <c r="L1380" i="9"/>
  <c r="L1376" i="9"/>
  <c r="L1372" i="9"/>
  <c r="L1368" i="9"/>
  <c r="L1364" i="9"/>
  <c r="L1360" i="9"/>
  <c r="L1356" i="9"/>
  <c r="L1352" i="9"/>
  <c r="L1348" i="9"/>
  <c r="L1344" i="9"/>
  <c r="L1340" i="9"/>
  <c r="L1336" i="9"/>
  <c r="L1332" i="9"/>
  <c r="L1328" i="9"/>
  <c r="L1324" i="9"/>
  <c r="L1320" i="9"/>
  <c r="L1316" i="9"/>
  <c r="L1312" i="9"/>
  <c r="L1308" i="9"/>
  <c r="L1304" i="9"/>
  <c r="L1300" i="9"/>
  <c r="L1296" i="9"/>
  <c r="L1292" i="9"/>
  <c r="L1288" i="9"/>
  <c r="L1284" i="9"/>
  <c r="L1280" i="9"/>
  <c r="L1276" i="9"/>
  <c r="L1272" i="9"/>
  <c r="L1268" i="9"/>
  <c r="L1264" i="9"/>
  <c r="L1260" i="9"/>
  <c r="L1256" i="9"/>
  <c r="L1252" i="9"/>
  <c r="L1248" i="9"/>
  <c r="L1244" i="9"/>
  <c r="L1240" i="9"/>
  <c r="L1236" i="9"/>
  <c r="L1232" i="9"/>
  <c r="L1228" i="9"/>
  <c r="L1224" i="9"/>
  <c r="L1220" i="9"/>
  <c r="L1216" i="9"/>
  <c r="L1212" i="9"/>
  <c r="L1208" i="9"/>
  <c r="L1204" i="9"/>
  <c r="L1539" i="9"/>
  <c r="L1531" i="9"/>
  <c r="L1523" i="9"/>
  <c r="L1515" i="9"/>
  <c r="L1507" i="9"/>
  <c r="L1499" i="9"/>
  <c r="L1491" i="9"/>
  <c r="L1483" i="9"/>
  <c r="L1475" i="9"/>
  <c r="L1467" i="9"/>
  <c r="L1459" i="9"/>
  <c r="L1451" i="9"/>
  <c r="L1443" i="9"/>
  <c r="L1435" i="9"/>
  <c r="L1427" i="9"/>
  <c r="L1419" i="9"/>
  <c r="L1411" i="9"/>
  <c r="L1403" i="9"/>
  <c r="L1395" i="9"/>
  <c r="L1387" i="9"/>
  <c r="L1379" i="9"/>
  <c r="L1371" i="9"/>
  <c r="L1363" i="9"/>
  <c r="L1355" i="9"/>
  <c r="L1349" i="9"/>
  <c r="L1343" i="9"/>
  <c r="L1338" i="9"/>
  <c r="L1333" i="9"/>
  <c r="L1327" i="9"/>
  <c r="L1322" i="9"/>
  <c r="L1317" i="9"/>
  <c r="L1311" i="9"/>
  <c r="L1306" i="9"/>
  <c r="L1301" i="9"/>
  <c r="L1295" i="9"/>
  <c r="L1290" i="9"/>
  <c r="L1285" i="9"/>
  <c r="L1279" i="9"/>
  <c r="L1274" i="9"/>
  <c r="L1269" i="9"/>
  <c r="L1263" i="9"/>
  <c r="L1258" i="9"/>
  <c r="L1253" i="9"/>
  <c r="L1247" i="9"/>
  <c r="L1242" i="9"/>
  <c r="L1237" i="9"/>
  <c r="L1231" i="9"/>
  <c r="L1226" i="9"/>
  <c r="L1221" i="9"/>
  <c r="L1215" i="9"/>
  <c r="L1210" i="9"/>
  <c r="L1205" i="9"/>
  <c r="L1200" i="9"/>
  <c r="L1196" i="9"/>
  <c r="L1192" i="9"/>
  <c r="L1188" i="9"/>
  <c r="L1184" i="9"/>
  <c r="L1180" i="9"/>
  <c r="L1176" i="9"/>
  <c r="L1172" i="9"/>
  <c r="L1168" i="9"/>
  <c r="L1164" i="9"/>
  <c r="L1160" i="9"/>
  <c r="L1156" i="9"/>
  <c r="L1152" i="9"/>
  <c r="L1148" i="9"/>
  <c r="L1144" i="9"/>
  <c r="L1140" i="9"/>
  <c r="L1136" i="9"/>
  <c r="L1132" i="9"/>
  <c r="L1128" i="9"/>
  <c r="L1124" i="9"/>
  <c r="L1120" i="9"/>
  <c r="L1116" i="9"/>
  <c r="L1112" i="9"/>
  <c r="L1108" i="9"/>
  <c r="L1104" i="9"/>
  <c r="L1100" i="9"/>
  <c r="L1096" i="9"/>
  <c r="L1092" i="9"/>
  <c r="L1088" i="9"/>
  <c r="L1084" i="9"/>
  <c r="L1080" i="9"/>
  <c r="L1076" i="9"/>
  <c r="L1072" i="9"/>
  <c r="L1538" i="9"/>
  <c r="L1530" i="9"/>
  <c r="L1522" i="9"/>
  <c r="L1514" i="9"/>
  <c r="L1506" i="9"/>
  <c r="L1498" i="9"/>
  <c r="L1490" i="9"/>
  <c r="L1482" i="9"/>
  <c r="L1474" i="9"/>
  <c r="L1466" i="9"/>
  <c r="L1458" i="9"/>
  <c r="L1450" i="9"/>
  <c r="L1442" i="9"/>
  <c r="L1434" i="9"/>
  <c r="L1426" i="9"/>
  <c r="L1418" i="9"/>
  <c r="L1410" i="9"/>
  <c r="L1402" i="9"/>
  <c r="L1394" i="9"/>
  <c r="L1386" i="9"/>
  <c r="L1378" i="9"/>
  <c r="L1370" i="9"/>
  <c r="L1362" i="9"/>
  <c r="L1354" i="9"/>
  <c r="L1347" i="9"/>
  <c r="L1342" i="9"/>
  <c r="L1337" i="9"/>
  <c r="L1331" i="9"/>
  <c r="L1326" i="9"/>
  <c r="L1321" i="9"/>
  <c r="L1315" i="9"/>
  <c r="L1310" i="9"/>
  <c r="L1305" i="9"/>
  <c r="L1299" i="9"/>
  <c r="L1294" i="9"/>
  <c r="L1289" i="9"/>
  <c r="L1283" i="9"/>
  <c r="L1278" i="9"/>
  <c r="L1273" i="9"/>
  <c r="L1267" i="9"/>
  <c r="L1262" i="9"/>
  <c r="L1257" i="9"/>
  <c r="L1251" i="9"/>
  <c r="L1246" i="9"/>
  <c r="L1241" i="9"/>
  <c r="L1235" i="9"/>
  <c r="L1230" i="9"/>
  <c r="L1225" i="9"/>
  <c r="L1219" i="9"/>
  <c r="L1214" i="9"/>
  <c r="L1209" i="9"/>
  <c r="L1203" i="9"/>
  <c r="L1199" i="9"/>
  <c r="L1195" i="9"/>
  <c r="L1191" i="9"/>
  <c r="L1187" i="9"/>
  <c r="L1183" i="9"/>
  <c r="L1179" i="9"/>
  <c r="L1175" i="9"/>
  <c r="L1171" i="9"/>
  <c r="L1167" i="9"/>
  <c r="L1163" i="9"/>
  <c r="L1159" i="9"/>
  <c r="L1155" i="9"/>
  <c r="L1151" i="9"/>
  <c r="L1147" i="9"/>
  <c r="L1143" i="9"/>
  <c r="L1139" i="9"/>
  <c r="L1135" i="9"/>
  <c r="L1131" i="9"/>
  <c r="L1127" i="9"/>
  <c r="L1123" i="9"/>
  <c r="L1119" i="9"/>
  <c r="L1115" i="9"/>
  <c r="L1111" i="9"/>
  <c r="L1107" i="9"/>
  <c r="L1103" i="9"/>
  <c r="L1099" i="9"/>
  <c r="L1095" i="9"/>
  <c r="L1091" i="9"/>
  <c r="L1087" i="9"/>
  <c r="L1083" i="9"/>
  <c r="L1079" i="9"/>
  <c r="L1075" i="9"/>
  <c r="L1071" i="9"/>
  <c r="L1067" i="9"/>
  <c r="L1063" i="9"/>
  <c r="L1059" i="9"/>
  <c r="L1055" i="9"/>
  <c r="L1051" i="9"/>
  <c r="L1047" i="9"/>
  <c r="L1043" i="9"/>
  <c r="L1039" i="9"/>
  <c r="L1035" i="9"/>
  <c r="L1031" i="9"/>
  <c r="L1027" i="9"/>
  <c r="L1023" i="9"/>
  <c r="L1019" i="9"/>
  <c r="L1015" i="9"/>
  <c r="L1011" i="9"/>
  <c r="L1007" i="9"/>
  <c r="L1003" i="9"/>
  <c r="L999" i="9"/>
  <c r="L995" i="9"/>
  <c r="L991" i="9"/>
  <c r="L987" i="9"/>
  <c r="L983" i="9"/>
  <c r="L979" i="9"/>
  <c r="L975" i="9"/>
  <c r="L971" i="9"/>
  <c r="L967" i="9"/>
  <c r="L963" i="9"/>
  <c r="L1535" i="9"/>
  <c r="L1519" i="9"/>
  <c r="L1503" i="9"/>
  <c r="L1487" i="9"/>
  <c r="L1471" i="9"/>
  <c r="L1455" i="9"/>
  <c r="L1439" i="9"/>
  <c r="L1423" i="9"/>
  <c r="L1407" i="9"/>
  <c r="L1391" i="9"/>
  <c r="L1375" i="9"/>
  <c r="L1359" i="9"/>
  <c r="L1346" i="9"/>
  <c r="L1335" i="9"/>
  <c r="L1325" i="9"/>
  <c r="L1314" i="9"/>
  <c r="L1303" i="9"/>
  <c r="L1293" i="9"/>
  <c r="L1282" i="9"/>
  <c r="L1271" i="9"/>
  <c r="L1261" i="9"/>
  <c r="L1250" i="9"/>
  <c r="L1239" i="9"/>
  <c r="L1229" i="9"/>
  <c r="L1218" i="9"/>
  <c r="L1207" i="9"/>
  <c r="L1198" i="9"/>
  <c r="L1190" i="9"/>
  <c r="L1182" i="9"/>
  <c r="L1174" i="9"/>
  <c r="L1166" i="9"/>
  <c r="L1158" i="9"/>
  <c r="L1150" i="9"/>
  <c r="L1142" i="9"/>
  <c r="L1134" i="9"/>
  <c r="L1126" i="9"/>
  <c r="L1118" i="9"/>
  <c r="L1110" i="9"/>
  <c r="L1102" i="9"/>
  <c r="L1094" i="9"/>
  <c r="L1086" i="9"/>
  <c r="L1078" i="9"/>
  <c r="L1070" i="9"/>
  <c r="L1065" i="9"/>
  <c r="L1060" i="9"/>
  <c r="L1054" i="9"/>
  <c r="L1049" i="9"/>
  <c r="L1044" i="9"/>
  <c r="L1038" i="9"/>
  <c r="L1033" i="9"/>
  <c r="L1028" i="9"/>
  <c r="L1022" i="9"/>
  <c r="L1017" i="9"/>
  <c r="L1012" i="9"/>
  <c r="L1006" i="9"/>
  <c r="L1001" i="9"/>
  <c r="L996" i="9"/>
  <c r="L990" i="9"/>
  <c r="L985" i="9"/>
  <c r="L980" i="9"/>
  <c r="L974" i="9"/>
  <c r="L969" i="9"/>
  <c r="L964" i="9"/>
  <c r="L959" i="9"/>
  <c r="L955" i="9"/>
  <c r="L951" i="9"/>
  <c r="L947" i="9"/>
  <c r="L943" i="9"/>
  <c r="L939" i="9"/>
  <c r="L935" i="9"/>
  <c r="L931" i="9"/>
  <c r="L927" i="9"/>
  <c r="L923" i="9"/>
  <c r="L919" i="9"/>
  <c r="L915" i="9"/>
  <c r="L911" i="9"/>
  <c r="L907" i="9"/>
  <c r="L903" i="9"/>
  <c r="L899" i="9"/>
  <c r="L895" i="9"/>
  <c r="L891" i="9"/>
  <c r="L887" i="9"/>
  <c r="L883" i="9"/>
  <c r="L879" i="9"/>
  <c r="L875" i="9"/>
  <c r="L871" i="9"/>
  <c r="L867" i="9"/>
  <c r="L863" i="9"/>
  <c r="L859" i="9"/>
  <c r="L1534" i="9"/>
  <c r="L1518" i="9"/>
  <c r="L1502" i="9"/>
  <c r="L1486" i="9"/>
  <c r="L1470" i="9"/>
  <c r="L1454" i="9"/>
  <c r="L1438" i="9"/>
  <c r="L1422" i="9"/>
  <c r="L1406" i="9"/>
  <c r="L1390" i="9"/>
  <c r="L1374" i="9"/>
  <c r="L1358" i="9"/>
  <c r="L1345" i="9"/>
  <c r="L1334" i="9"/>
  <c r="L1323" i="9"/>
  <c r="L1313" i="9"/>
  <c r="L1302" i="9"/>
  <c r="L1291" i="9"/>
  <c r="L1281" i="9"/>
  <c r="L1270" i="9"/>
  <c r="L1259" i="9"/>
  <c r="L1249" i="9"/>
  <c r="L1238" i="9"/>
  <c r="L1227" i="9"/>
  <c r="L1217" i="9"/>
  <c r="L1206" i="9"/>
  <c r="L1197" i="9"/>
  <c r="L1189" i="9"/>
  <c r="L1181" i="9"/>
  <c r="L1173" i="9"/>
  <c r="L1165" i="9"/>
  <c r="L1157" i="9"/>
  <c r="L1149" i="9"/>
  <c r="L1141" i="9"/>
  <c r="L1133" i="9"/>
  <c r="L1125" i="9"/>
  <c r="L1117" i="9"/>
  <c r="L1109" i="9"/>
  <c r="L1101" i="9"/>
  <c r="L1093" i="9"/>
  <c r="L1085" i="9"/>
  <c r="L1077" i="9"/>
  <c r="L1069" i="9"/>
  <c r="L1064" i="9"/>
  <c r="L1058" i="9"/>
  <c r="L1053" i="9"/>
  <c r="L1048" i="9"/>
  <c r="L1042" i="9"/>
  <c r="L1037" i="9"/>
  <c r="L1032" i="9"/>
  <c r="L1026" i="9"/>
  <c r="L1021" i="9"/>
  <c r="L1016" i="9"/>
  <c r="L1010" i="9"/>
  <c r="L1005" i="9"/>
  <c r="L1000" i="9"/>
  <c r="L994" i="9"/>
  <c r="L989" i="9"/>
  <c r="L984" i="9"/>
  <c r="L978" i="9"/>
  <c r="L973" i="9"/>
  <c r="L968" i="9"/>
  <c r="L962" i="9"/>
  <c r="L958" i="9"/>
  <c r="L954" i="9"/>
  <c r="L950" i="9"/>
  <c r="L946" i="9"/>
  <c r="L942" i="9"/>
  <c r="L938" i="9"/>
  <c r="L934" i="9"/>
  <c r="L930" i="9"/>
  <c r="L926" i="9"/>
  <c r="L922" i="9"/>
  <c r="L918" i="9"/>
  <c r="L1527" i="9"/>
  <c r="L1511" i="9"/>
  <c r="L1495" i="9"/>
  <c r="L1479" i="9"/>
  <c r="L1463" i="9"/>
  <c r="L1447" i="9"/>
  <c r="L1431" i="9"/>
  <c r="L1415" i="9"/>
  <c r="L1399" i="9"/>
  <c r="L1383" i="9"/>
  <c r="L1367" i="9"/>
  <c r="L1351" i="9"/>
  <c r="L1341" i="9"/>
  <c r="L1330" i="9"/>
  <c r="L1319" i="9"/>
  <c r="L1309" i="9"/>
  <c r="L1298" i="9"/>
  <c r="L1287" i="9"/>
  <c r="L1277" i="9"/>
  <c r="L1266" i="9"/>
  <c r="L1255" i="9"/>
  <c r="L1245" i="9"/>
  <c r="L1234" i="9"/>
  <c r="L1223" i="9"/>
  <c r="L1213" i="9"/>
  <c r="L1202" i="9"/>
  <c r="L1194" i="9"/>
  <c r="L1186" i="9"/>
  <c r="L1178" i="9"/>
  <c r="L1170" i="9"/>
  <c r="L1162" i="9"/>
  <c r="L1154" i="9"/>
  <c r="L1146" i="9"/>
  <c r="L1138" i="9"/>
  <c r="L1130" i="9"/>
  <c r="L1122" i="9"/>
  <c r="L1114" i="9"/>
  <c r="L1106" i="9"/>
  <c r="L1098" i="9"/>
  <c r="L1090" i="9"/>
  <c r="L1082" i="9"/>
  <c r="L1074" i="9"/>
  <c r="L1068" i="9"/>
  <c r="L1062" i="9"/>
  <c r="L1057" i="9"/>
  <c r="L1052" i="9"/>
  <c r="L1046" i="9"/>
  <c r="L1041" i="9"/>
  <c r="L1036" i="9"/>
  <c r="L1030" i="9"/>
  <c r="L1025" i="9"/>
  <c r="L1020" i="9"/>
  <c r="L1014" i="9"/>
  <c r="L1009" i="9"/>
  <c r="L1004" i="9"/>
  <c r="L998" i="9"/>
  <c r="L993" i="9"/>
  <c r="L988" i="9"/>
  <c r="L982" i="9"/>
  <c r="L977" i="9"/>
  <c r="L972" i="9"/>
  <c r="L966" i="9"/>
  <c r="L961" i="9"/>
  <c r="L957" i="9"/>
  <c r="L953" i="9"/>
  <c r="L949" i="9"/>
  <c r="L945" i="9"/>
  <c r="L941" i="9"/>
  <c r="L937" i="9"/>
  <c r="L933" i="9"/>
  <c r="L929" i="9"/>
  <c r="L925" i="9"/>
  <c r="L921" i="9"/>
  <c r="L917" i="9"/>
  <c r="L913" i="9"/>
  <c r="L909" i="9"/>
  <c r="L905" i="9"/>
  <c r="L901" i="9"/>
  <c r="L897" i="9"/>
  <c r="L893" i="9"/>
  <c r="L889" i="9"/>
  <c r="L885" i="9"/>
  <c r="L881" i="9"/>
  <c r="L877" i="9"/>
  <c r="L873" i="9"/>
  <c r="L1526" i="9"/>
  <c r="L1462" i="9"/>
  <c r="L1398" i="9"/>
  <c r="L1339" i="9"/>
  <c r="L1297" i="9"/>
  <c r="L1254" i="9"/>
  <c r="L1211" i="9"/>
  <c r="L1177" i="9"/>
  <c r="L1145" i="9"/>
  <c r="L1113" i="9"/>
  <c r="L1081" i="9"/>
  <c r="L1056" i="9"/>
  <c r="L1034" i="9"/>
  <c r="L1013" i="9"/>
  <c r="L992" i="9"/>
  <c r="L970" i="9"/>
  <c r="L952" i="9"/>
  <c r="L936" i="9"/>
  <c r="L920" i="9"/>
  <c r="L910" i="9"/>
  <c r="L902" i="9"/>
  <c r="L894" i="9"/>
  <c r="L886" i="9"/>
  <c r="L878" i="9"/>
  <c r="L870" i="9"/>
  <c r="L865" i="9"/>
  <c r="L860" i="9"/>
  <c r="L855" i="9"/>
  <c r="L851" i="9"/>
  <c r="L847" i="9"/>
  <c r="L843" i="9"/>
  <c r="L839" i="9"/>
  <c r="L835" i="9"/>
  <c r="L831" i="9"/>
  <c r="L827" i="9"/>
  <c r="L823" i="9"/>
  <c r="L819" i="9"/>
  <c r="L815" i="9"/>
  <c r="L811" i="9"/>
  <c r="L807" i="9"/>
  <c r="L803" i="9"/>
  <c r="L799" i="9"/>
  <c r="L795" i="9"/>
  <c r="L791" i="9"/>
  <c r="L787" i="9"/>
  <c r="L783" i="9"/>
  <c r="L779" i="9"/>
  <c r="L775" i="9"/>
  <c r="L771" i="9"/>
  <c r="L767" i="9"/>
  <c r="L763" i="9"/>
  <c r="L759" i="9"/>
  <c r="L755" i="9"/>
  <c r="L751" i="9"/>
  <c r="L747" i="9"/>
  <c r="L743" i="9"/>
  <c r="L739" i="9"/>
  <c r="L735" i="9"/>
  <c r="L731" i="9"/>
  <c r="L727" i="9"/>
  <c r="L723" i="9"/>
  <c r="L719" i="9"/>
  <c r="L715" i="9"/>
  <c r="L711" i="9"/>
  <c r="L707" i="9"/>
  <c r="L703" i="9"/>
  <c r="L699" i="9"/>
  <c r="L695" i="9"/>
  <c r="L691" i="9"/>
  <c r="L687" i="9"/>
  <c r="L683" i="9"/>
  <c r="L679" i="9"/>
  <c r="L675" i="9"/>
  <c r="L671" i="9"/>
  <c r="L667" i="9"/>
  <c r="L663" i="9"/>
  <c r="L659" i="9"/>
  <c r="L655" i="9"/>
  <c r="L651" i="9"/>
  <c r="L647" i="9"/>
  <c r="L643" i="9"/>
  <c r="L639" i="9"/>
  <c r="L635" i="9"/>
  <c r="L631" i="9"/>
  <c r="L627" i="9"/>
  <c r="L623" i="9"/>
  <c r="L619" i="9"/>
  <c r="L615" i="9"/>
  <c r="L611" i="9"/>
  <c r="L607" i="9"/>
  <c r="L603" i="9"/>
  <c r="L599" i="9"/>
  <c r="L595" i="9"/>
  <c r="L591" i="9"/>
  <c r="L587" i="9"/>
  <c r="L583" i="9"/>
  <c r="L579" i="9"/>
  <c r="L575" i="9"/>
  <c r="L571" i="9"/>
  <c r="L567" i="9"/>
  <c r="L563" i="9"/>
  <c r="L559" i="9"/>
  <c r="L555" i="9"/>
  <c r="L551" i="9"/>
  <c r="L547" i="9"/>
  <c r="L543" i="9"/>
  <c r="L539" i="9"/>
  <c r="L535" i="9"/>
  <c r="L531" i="9"/>
  <c r="L527" i="9"/>
  <c r="L523" i="9"/>
  <c r="L519" i="9"/>
  <c r="L515" i="9"/>
  <c r="L511" i="9"/>
  <c r="L507" i="9"/>
  <c r="L503" i="9"/>
  <c r="L499" i="9"/>
  <c r="L495" i="9"/>
  <c r="L491" i="9"/>
  <c r="L487" i="9"/>
  <c r="L483" i="9"/>
  <c r="L479" i="9"/>
  <c r="L475" i="9"/>
  <c r="L471" i="9"/>
  <c r="L467" i="9"/>
  <c r="L463" i="9"/>
  <c r="L459" i="9"/>
  <c r="L455" i="9"/>
  <c r="L451" i="9"/>
  <c r="L447" i="9"/>
  <c r="L443" i="9"/>
  <c r="L439" i="9"/>
  <c r="L435" i="9"/>
  <c r="L431" i="9"/>
  <c r="L427" i="9"/>
  <c r="L423" i="9"/>
  <c r="L419" i="9"/>
  <c r="L415" i="9"/>
  <c r="L411" i="9"/>
  <c r="L407" i="9"/>
  <c r="L403" i="9"/>
  <c r="L399" i="9"/>
  <c r="L395" i="9"/>
  <c r="L391" i="9"/>
  <c r="L387" i="9"/>
  <c r="L383" i="9"/>
  <c r="L379" i="9"/>
  <c r="L375" i="9"/>
  <c r="L371" i="9"/>
  <c r="L367" i="9"/>
  <c r="L363" i="9"/>
  <c r="L359" i="9"/>
  <c r="L355" i="9"/>
  <c r="L351" i="9"/>
  <c r="L347" i="9"/>
  <c r="L343" i="9"/>
  <c r="L339" i="9"/>
  <c r="L335" i="9"/>
  <c r="L331" i="9"/>
  <c r="L327" i="9"/>
  <c r="L323" i="9"/>
  <c r="L319" i="9"/>
  <c r="L315" i="9"/>
  <c r="L311" i="9"/>
  <c r="L307" i="9"/>
  <c r="L303" i="9"/>
  <c r="L299" i="9"/>
  <c r="L295" i="9"/>
  <c r="L291" i="9"/>
  <c r="L287" i="9"/>
  <c r="L1510" i="9"/>
  <c r="L1446" i="9"/>
  <c r="L1382" i="9"/>
  <c r="L1329" i="9"/>
  <c r="L1286" i="9"/>
  <c r="L1243" i="9"/>
  <c r="L1201" i="9"/>
  <c r="L1169" i="9"/>
  <c r="L1137" i="9"/>
  <c r="L1105" i="9"/>
  <c r="L1073" i="9"/>
  <c r="L1050" i="9"/>
  <c r="L1029" i="9"/>
  <c r="L1008" i="9"/>
  <c r="L986" i="9"/>
  <c r="L965" i="9"/>
  <c r="L948" i="9"/>
  <c r="L932" i="9"/>
  <c r="L916" i="9"/>
  <c r="L908" i="9"/>
  <c r="L900" i="9"/>
  <c r="L892" i="9"/>
  <c r="L884" i="9"/>
  <c r="L876" i="9"/>
  <c r="L869" i="9"/>
  <c r="L864" i="9"/>
  <c r="L858" i="9"/>
  <c r="L854" i="9"/>
  <c r="L850" i="9"/>
  <c r="L846" i="9"/>
  <c r="L842" i="9"/>
  <c r="L838" i="9"/>
  <c r="L834" i="9"/>
  <c r="L830" i="9"/>
  <c r="L826" i="9"/>
  <c r="L822" i="9"/>
  <c r="L818" i="9"/>
  <c r="L814" i="9"/>
  <c r="L810" i="9"/>
  <c r="L806" i="9"/>
  <c r="L802" i="9"/>
  <c r="L798" i="9"/>
  <c r="L794" i="9"/>
  <c r="L790" i="9"/>
  <c r="L786" i="9"/>
  <c r="L782" i="9"/>
  <c r="L778" i="9"/>
  <c r="L774" i="9"/>
  <c r="L770" i="9"/>
  <c r="L766" i="9"/>
  <c r="L762" i="9"/>
  <c r="L758" i="9"/>
  <c r="L754" i="9"/>
  <c r="L750" i="9"/>
  <c r="L746" i="9"/>
  <c r="L742" i="9"/>
  <c r="L738" i="9"/>
  <c r="L734" i="9"/>
  <c r="L730" i="9"/>
  <c r="L726" i="9"/>
  <c r="L722" i="9"/>
  <c r="L718" i="9"/>
  <c r="L714" i="9"/>
  <c r="L710" i="9"/>
  <c r="L706" i="9"/>
  <c r="L702" i="9"/>
  <c r="L698" i="9"/>
  <c r="L694" i="9"/>
  <c r="L690" i="9"/>
  <c r="L686" i="9"/>
  <c r="L682" i="9"/>
  <c r="L678" i="9"/>
  <c r="L674" i="9"/>
  <c r="L670" i="9"/>
  <c r="L666" i="9"/>
  <c r="L662" i="9"/>
  <c r="L658" i="9"/>
  <c r="L654" i="9"/>
  <c r="L650" i="9"/>
  <c r="L646" i="9"/>
  <c r="L642" i="9"/>
  <c r="L638" i="9"/>
  <c r="L634" i="9"/>
  <c r="L630" i="9"/>
  <c r="L626" i="9"/>
  <c r="L622" i="9"/>
  <c r="L618" i="9"/>
  <c r="L614" i="9"/>
  <c r="L610" i="9"/>
  <c r="L606" i="9"/>
  <c r="L602" i="9"/>
  <c r="L598" i="9"/>
  <c r="L594" i="9"/>
  <c r="L590" i="9"/>
  <c r="L586" i="9"/>
  <c r="L582" i="9"/>
  <c r="L578" i="9"/>
  <c r="L574" i="9"/>
  <c r="L570" i="9"/>
  <c r="L566" i="9"/>
  <c r="L562" i="9"/>
  <c r="L558" i="9"/>
  <c r="L554" i="9"/>
  <c r="L550" i="9"/>
  <c r="L546" i="9"/>
  <c r="L542" i="9"/>
  <c r="L538" i="9"/>
  <c r="L534" i="9"/>
  <c r="L530" i="9"/>
  <c r="L526" i="9"/>
  <c r="L522" i="9"/>
  <c r="L518" i="9"/>
  <c r="L514" i="9"/>
  <c r="L510" i="9"/>
  <c r="L506" i="9"/>
  <c r="L502" i="9"/>
  <c r="L498" i="9"/>
  <c r="L494" i="9"/>
  <c r="L490" i="9"/>
  <c r="L486" i="9"/>
  <c r="L482" i="9"/>
  <c r="L478" i="9"/>
  <c r="L474" i="9"/>
  <c r="L470" i="9"/>
  <c r="L466" i="9"/>
  <c r="L462" i="9"/>
  <c r="L458" i="9"/>
  <c r="L454" i="9"/>
  <c r="L450" i="9"/>
  <c r="L446" i="9"/>
  <c r="L442" i="9"/>
  <c r="L438" i="9"/>
  <c r="L434" i="9"/>
  <c r="L430" i="9"/>
  <c r="L426" i="9"/>
  <c r="L422" i="9"/>
  <c r="L418" i="9"/>
  <c r="L414" i="9"/>
  <c r="L410" i="9"/>
  <c r="L406" i="9"/>
  <c r="L402" i="9"/>
  <c r="L398" i="9"/>
  <c r="L394" i="9"/>
  <c r="L1494" i="9"/>
  <c r="L1430" i="9"/>
  <c r="L1366" i="9"/>
  <c r="L1318" i="9"/>
  <c r="L1275" i="9"/>
  <c r="L1233" i="9"/>
  <c r="L1193" i="9"/>
  <c r="L1161" i="9"/>
  <c r="L1129" i="9"/>
  <c r="L1097" i="9"/>
  <c r="L1066" i="9"/>
  <c r="L1045" i="9"/>
  <c r="L1024" i="9"/>
  <c r="L1002" i="9"/>
  <c r="L981" i="9"/>
  <c r="L960" i="9"/>
  <c r="L944" i="9"/>
  <c r="L928" i="9"/>
  <c r="L914" i="9"/>
  <c r="L906" i="9"/>
  <c r="L898" i="9"/>
  <c r="L890" i="9"/>
  <c r="L882" i="9"/>
  <c r="L874" i="9"/>
  <c r="L868" i="9"/>
  <c r="L862" i="9"/>
  <c r="L857" i="9"/>
  <c r="L853" i="9"/>
  <c r="L849" i="9"/>
  <c r="L845" i="9"/>
  <c r="L841" i="9"/>
  <c r="L837" i="9"/>
  <c r="L833" i="9"/>
  <c r="L829" i="9"/>
  <c r="L825" i="9"/>
  <c r="L821" i="9"/>
  <c r="L817" i="9"/>
  <c r="L813" i="9"/>
  <c r="L809" i="9"/>
  <c r="L805" i="9"/>
  <c r="L801" i="9"/>
  <c r="L797" i="9"/>
  <c r="L793" i="9"/>
  <c r="L789" i="9"/>
  <c r="L785" i="9"/>
  <c r="L781" i="9"/>
  <c r="L777" i="9"/>
  <c r="L773" i="9"/>
  <c r="L769" i="9"/>
  <c r="L765" i="9"/>
  <c r="L761" i="9"/>
  <c r="L757" i="9"/>
  <c r="L753" i="9"/>
  <c r="L749" i="9"/>
  <c r="L745" i="9"/>
  <c r="L741" i="9"/>
  <c r="L737" i="9"/>
  <c r="L733" i="9"/>
  <c r="L729" i="9"/>
  <c r="L725" i="9"/>
  <c r="L721" i="9"/>
  <c r="L717" i="9"/>
  <c r="L713" i="9"/>
  <c r="L709" i="9"/>
  <c r="L705" i="9"/>
  <c r="L701" i="9"/>
  <c r="L697" i="9"/>
  <c r="L693" i="9"/>
  <c r="L689" i="9"/>
  <c r="L685" i="9"/>
  <c r="L681" i="9"/>
  <c r="L677" i="9"/>
  <c r="L673" i="9"/>
  <c r="L669" i="9"/>
  <c r="L665" i="9"/>
  <c r="L661" i="9"/>
  <c r="L657" i="9"/>
  <c r="L653" i="9"/>
  <c r="L649" i="9"/>
  <c r="L645" i="9"/>
  <c r="L641" i="9"/>
  <c r="L637" i="9"/>
  <c r="L633" i="9"/>
  <c r="L629" i="9"/>
  <c r="L625" i="9"/>
  <c r="L621" i="9"/>
  <c r="L617" i="9"/>
  <c r="L613" i="9"/>
  <c r="L609" i="9"/>
  <c r="L605" i="9"/>
  <c r="L601" i="9"/>
  <c r="L597" i="9"/>
  <c r="L593" i="9"/>
  <c r="L589" i="9"/>
  <c r="L585" i="9"/>
  <c r="L581" i="9"/>
  <c r="L577" i="9"/>
  <c r="L573" i="9"/>
  <c r="L569" i="9"/>
  <c r="L565" i="9"/>
  <c r="L561" i="9"/>
  <c r="L557" i="9"/>
  <c r="L553" i="9"/>
  <c r="L549" i="9"/>
  <c r="L545" i="9"/>
  <c r="L541" i="9"/>
  <c r="L537" i="9"/>
  <c r="L533" i="9"/>
  <c r="L529" i="9"/>
  <c r="L525" i="9"/>
  <c r="L521" i="9"/>
  <c r="L517" i="9"/>
  <c r="L513" i="9"/>
  <c r="L509" i="9"/>
  <c r="L505" i="9"/>
  <c r="L501" i="9"/>
  <c r="L497" i="9"/>
  <c r="L493" i="9"/>
  <c r="L489" i="9"/>
  <c r="L485" i="9"/>
  <c r="L481" i="9"/>
  <c r="L477" i="9"/>
  <c r="L473" i="9"/>
  <c r="L469" i="9"/>
  <c r="L465" i="9"/>
  <c r="L461" i="9"/>
  <c r="L457" i="9"/>
  <c r="L453" i="9"/>
  <c r="L449" i="9"/>
  <c r="L445" i="9"/>
  <c r="L441" i="9"/>
  <c r="L437" i="9"/>
  <c r="L433" i="9"/>
  <c r="L429" i="9"/>
  <c r="L425" i="9"/>
  <c r="L421" i="9"/>
  <c r="L417" i="9"/>
  <c r="L413" i="9"/>
  <c r="L409" i="9"/>
  <c r="L405" i="9"/>
  <c r="L401" i="9"/>
  <c r="L397" i="9"/>
  <c r="L393" i="9"/>
  <c r="L389" i="9"/>
  <c r="L385" i="9"/>
  <c r="L381" i="9"/>
  <c r="L377" i="9"/>
  <c r="L373" i="9"/>
  <c r="L369" i="9"/>
  <c r="L365" i="9"/>
  <c r="L361" i="9"/>
  <c r="L357" i="9"/>
  <c r="L353" i="9"/>
  <c r="L349" i="9"/>
  <c r="L345" i="9"/>
  <c r="L341" i="9"/>
  <c r="L337" i="9"/>
  <c r="L333" i="9"/>
  <c r="L329" i="9"/>
  <c r="L325" i="9"/>
  <c r="L321" i="9"/>
  <c r="L317" i="9"/>
  <c r="L313" i="9"/>
  <c r="L309" i="9"/>
  <c r="L305" i="9"/>
  <c r="L301" i="9"/>
  <c r="L297" i="9"/>
  <c r="L293" i="9"/>
  <c r="L289" i="9"/>
  <c r="L285" i="9"/>
  <c r="L1478" i="9"/>
  <c r="L1265" i="9"/>
  <c r="L1121" i="9"/>
  <c r="L1018" i="9"/>
  <c r="L940" i="9"/>
  <c r="L896" i="9"/>
  <c r="L866" i="9"/>
  <c r="L848" i="9"/>
  <c r="L832" i="9"/>
  <c r="L816" i="9"/>
  <c r="L800" i="9"/>
  <c r="L784" i="9"/>
  <c r="L768" i="9"/>
  <c r="L752" i="9"/>
  <c r="L736" i="9"/>
  <c r="L720" i="9"/>
  <c r="L704" i="9"/>
  <c r="L688" i="9"/>
  <c r="L672" i="9"/>
  <c r="L656" i="9"/>
  <c r="L640" i="9"/>
  <c r="L624" i="9"/>
  <c r="L608" i="9"/>
  <c r="L592" i="9"/>
  <c r="L576" i="9"/>
  <c r="L560" i="9"/>
  <c r="L544" i="9"/>
  <c r="L528" i="9"/>
  <c r="L512" i="9"/>
  <c r="L496" i="9"/>
  <c r="L480" i="9"/>
  <c r="L464" i="9"/>
  <c r="L448" i="9"/>
  <c r="L432" i="9"/>
  <c r="L416" i="9"/>
  <c r="L400" i="9"/>
  <c r="L388" i="9"/>
  <c r="L380" i="9"/>
  <c r="L372" i="9"/>
  <c r="L364" i="9"/>
  <c r="L356" i="9"/>
  <c r="L348" i="9"/>
  <c r="L340" i="9"/>
  <c r="L332" i="9"/>
  <c r="L324" i="9"/>
  <c r="L316" i="9"/>
  <c r="L308" i="9"/>
  <c r="L300" i="9"/>
  <c r="L292" i="9"/>
  <c r="L284" i="9"/>
  <c r="L280" i="9"/>
  <c r="L276" i="9"/>
  <c r="L272" i="9"/>
  <c r="L268" i="9"/>
  <c r="L264" i="9"/>
  <c r="L260" i="9"/>
  <c r="L256" i="9"/>
  <c r="L252" i="9"/>
  <c r="L248" i="9"/>
  <c r="L244" i="9"/>
  <c r="L240" i="9"/>
  <c r="L236" i="9"/>
  <c r="L232" i="9"/>
  <c r="L228" i="9"/>
  <c r="L224" i="9"/>
  <c r="L220" i="9"/>
  <c r="L216" i="9"/>
  <c r="L212" i="9"/>
  <c r="L208" i="9"/>
  <c r="L204" i="9"/>
  <c r="L200" i="9"/>
  <c r="L196" i="9"/>
  <c r="L192" i="9"/>
  <c r="L188" i="9"/>
  <c r="L184" i="9"/>
  <c r="L180" i="9"/>
  <c r="L176" i="9"/>
  <c r="L172" i="9"/>
  <c r="L168" i="9"/>
  <c r="L164" i="9"/>
  <c r="L160" i="9"/>
  <c r="L156" i="9"/>
  <c r="L152" i="9"/>
  <c r="L148" i="9"/>
  <c r="L144" i="9"/>
  <c r="L140" i="9"/>
  <c r="L136" i="9"/>
  <c r="L132" i="9"/>
  <c r="L128" i="9"/>
  <c r="L124" i="9"/>
  <c r="L120" i="9"/>
  <c r="L116" i="9"/>
  <c r="L112" i="9"/>
  <c r="L108" i="9"/>
  <c r="L104" i="9"/>
  <c r="L100" i="9"/>
  <c r="L96" i="9"/>
  <c r="L92" i="9"/>
  <c r="L88" i="9"/>
  <c r="L84" i="9"/>
  <c r="L80" i="9"/>
  <c r="L76" i="9"/>
  <c r="L72" i="9"/>
  <c r="L68" i="9"/>
  <c r="L64" i="9"/>
  <c r="L60" i="9"/>
  <c r="L56" i="9"/>
  <c r="L52" i="9"/>
  <c r="L48" i="9"/>
  <c r="L44" i="9"/>
  <c r="L40" i="9"/>
  <c r="L36" i="9"/>
  <c r="L32" i="9"/>
  <c r="L28" i="9"/>
  <c r="L24" i="9"/>
  <c r="L20" i="9"/>
  <c r="L16" i="9"/>
  <c r="L12" i="9"/>
  <c r="L8" i="9"/>
  <c r="L4" i="9"/>
  <c r="L1153" i="9"/>
  <c r="L804" i="9"/>
  <c r="L772" i="9"/>
  <c r="L724" i="9"/>
  <c r="L676" i="9"/>
  <c r="L628" i="9"/>
  <c r="L596" i="9"/>
  <c r="L564" i="9"/>
  <c r="L500" i="9"/>
  <c r="L468" i="9"/>
  <c r="L420" i="9"/>
  <c r="L382" i="9"/>
  <c r="L366" i="9"/>
  <c r="L342" i="9"/>
  <c r="L310" i="9"/>
  <c r="L286" i="9"/>
  <c r="L273" i="9"/>
  <c r="L265" i="9"/>
  <c r="L253" i="9"/>
  <c r="L241" i="9"/>
  <c r="L233" i="9"/>
  <c r="L221" i="9"/>
  <c r="L209" i="9"/>
  <c r="L197" i="9"/>
  <c r="L185" i="9"/>
  <c r="L173" i="9"/>
  <c r="L165" i="9"/>
  <c r="L157" i="9"/>
  <c r="L141" i="9"/>
  <c r="L129" i="9"/>
  <c r="L1414" i="9"/>
  <c r="L1222" i="9"/>
  <c r="L1089" i="9"/>
  <c r="L997" i="9"/>
  <c r="L924" i="9"/>
  <c r="L888" i="9"/>
  <c r="L861" i="9"/>
  <c r="L844" i="9"/>
  <c r="L828" i="9"/>
  <c r="L812" i="9"/>
  <c r="L796" i="9"/>
  <c r="L780" i="9"/>
  <c r="L764" i="9"/>
  <c r="L748" i="9"/>
  <c r="L732" i="9"/>
  <c r="L716" i="9"/>
  <c r="L700" i="9"/>
  <c r="L684" i="9"/>
  <c r="L668" i="9"/>
  <c r="L652" i="9"/>
  <c r="L636" i="9"/>
  <c r="L620" i="9"/>
  <c r="L604" i="9"/>
  <c r="L588" i="9"/>
  <c r="L572" i="9"/>
  <c r="L556" i="9"/>
  <c r="L540" i="9"/>
  <c r="L524" i="9"/>
  <c r="L508" i="9"/>
  <c r="L492" i="9"/>
  <c r="L476" i="9"/>
  <c r="L460" i="9"/>
  <c r="L444" i="9"/>
  <c r="L428" i="9"/>
  <c r="L412" i="9"/>
  <c r="L396" i="9"/>
  <c r="L386" i="9"/>
  <c r="L378" i="9"/>
  <c r="L370" i="9"/>
  <c r="L362" i="9"/>
  <c r="L354" i="9"/>
  <c r="L346" i="9"/>
  <c r="L338" i="9"/>
  <c r="L330" i="9"/>
  <c r="L322" i="9"/>
  <c r="L314" i="9"/>
  <c r="L306" i="9"/>
  <c r="L298" i="9"/>
  <c r="L290" i="9"/>
  <c r="L283" i="9"/>
  <c r="L279" i="9"/>
  <c r="L275" i="9"/>
  <c r="L271" i="9"/>
  <c r="L267" i="9"/>
  <c r="L263" i="9"/>
  <c r="L259" i="9"/>
  <c r="L255" i="9"/>
  <c r="L251" i="9"/>
  <c r="L247" i="9"/>
  <c r="L243" i="9"/>
  <c r="L239" i="9"/>
  <c r="L235" i="9"/>
  <c r="L231" i="9"/>
  <c r="L227" i="9"/>
  <c r="L223" i="9"/>
  <c r="L219" i="9"/>
  <c r="L215" i="9"/>
  <c r="L211" i="9"/>
  <c r="L207" i="9"/>
  <c r="L203" i="9"/>
  <c r="L199" i="9"/>
  <c r="L195" i="9"/>
  <c r="L191" i="9"/>
  <c r="L187" i="9"/>
  <c r="L183" i="9"/>
  <c r="L179" i="9"/>
  <c r="L175" i="9"/>
  <c r="L171" i="9"/>
  <c r="L167" i="9"/>
  <c r="L163" i="9"/>
  <c r="L159" i="9"/>
  <c r="L155" i="9"/>
  <c r="L151" i="9"/>
  <c r="L147" i="9"/>
  <c r="L143" i="9"/>
  <c r="L139" i="9"/>
  <c r="L135" i="9"/>
  <c r="L131" i="9"/>
  <c r="L127" i="9"/>
  <c r="L123" i="9"/>
  <c r="L119" i="9"/>
  <c r="L115" i="9"/>
  <c r="L111" i="9"/>
  <c r="L107" i="9"/>
  <c r="L103" i="9"/>
  <c r="L99" i="9"/>
  <c r="L95" i="9"/>
  <c r="L91" i="9"/>
  <c r="L87" i="9"/>
  <c r="L83" i="9"/>
  <c r="L79" i="9"/>
  <c r="L75" i="9"/>
  <c r="L71" i="9"/>
  <c r="L67" i="9"/>
  <c r="L63" i="9"/>
  <c r="L59" i="9"/>
  <c r="L55" i="9"/>
  <c r="L51" i="9"/>
  <c r="L47" i="9"/>
  <c r="L43" i="9"/>
  <c r="L39" i="9"/>
  <c r="L35" i="9"/>
  <c r="L31" i="9"/>
  <c r="L27" i="9"/>
  <c r="L23" i="9"/>
  <c r="L19" i="9"/>
  <c r="L15" i="9"/>
  <c r="L11" i="9"/>
  <c r="L7" i="9"/>
  <c r="L3" i="9"/>
  <c r="L1307" i="9"/>
  <c r="L956" i="9"/>
  <c r="L904" i="9"/>
  <c r="L872" i="9"/>
  <c r="L852" i="9"/>
  <c r="L836" i="9"/>
  <c r="L820" i="9"/>
  <c r="L788" i="9"/>
  <c r="L756" i="9"/>
  <c r="L708" i="9"/>
  <c r="L660" i="9"/>
  <c r="L580" i="9"/>
  <c r="L532" i="9"/>
  <c r="L452" i="9"/>
  <c r="L390" i="9"/>
  <c r="L358" i="9"/>
  <c r="L326" i="9"/>
  <c r="L302" i="9"/>
  <c r="L277" i="9"/>
  <c r="L261" i="9"/>
  <c r="L249" i="9"/>
  <c r="L237" i="9"/>
  <c r="L217" i="9"/>
  <c r="L205" i="9"/>
  <c r="L193" i="9"/>
  <c r="L181" i="9"/>
  <c r="L161" i="9"/>
  <c r="L149" i="9"/>
  <c r="L133" i="9"/>
  <c r="L1350" i="9"/>
  <c r="L1185" i="9"/>
  <c r="L1061" i="9"/>
  <c r="L976" i="9"/>
  <c r="L912" i="9"/>
  <c r="L880" i="9"/>
  <c r="L856" i="9"/>
  <c r="L840" i="9"/>
  <c r="L824" i="9"/>
  <c r="L808" i="9"/>
  <c r="L792" i="9"/>
  <c r="L776" i="9"/>
  <c r="L760" i="9"/>
  <c r="L744" i="9"/>
  <c r="L728" i="9"/>
  <c r="L712" i="9"/>
  <c r="L696" i="9"/>
  <c r="L680" i="9"/>
  <c r="L664" i="9"/>
  <c r="L648" i="9"/>
  <c r="L632" i="9"/>
  <c r="L616" i="9"/>
  <c r="L600" i="9"/>
  <c r="L584" i="9"/>
  <c r="L568" i="9"/>
  <c r="L552" i="9"/>
  <c r="L536" i="9"/>
  <c r="L520" i="9"/>
  <c r="L504" i="9"/>
  <c r="L488" i="9"/>
  <c r="L472" i="9"/>
  <c r="L456" i="9"/>
  <c r="L440" i="9"/>
  <c r="L424" i="9"/>
  <c r="L408" i="9"/>
  <c r="L392" i="9"/>
  <c r="L384" i="9"/>
  <c r="L376" i="9"/>
  <c r="L368" i="9"/>
  <c r="L360" i="9"/>
  <c r="L352" i="9"/>
  <c r="L344" i="9"/>
  <c r="L336" i="9"/>
  <c r="L328" i="9"/>
  <c r="L320" i="9"/>
  <c r="L312" i="9"/>
  <c r="L304" i="9"/>
  <c r="L296" i="9"/>
  <c r="L288" i="9"/>
  <c r="L282" i="9"/>
  <c r="L278" i="9"/>
  <c r="L274" i="9"/>
  <c r="L270" i="9"/>
  <c r="L266" i="9"/>
  <c r="L262" i="9"/>
  <c r="L258" i="9"/>
  <c r="L254" i="9"/>
  <c r="L250" i="9"/>
  <c r="L246" i="9"/>
  <c r="L242" i="9"/>
  <c r="L238" i="9"/>
  <c r="L234" i="9"/>
  <c r="L230" i="9"/>
  <c r="L226" i="9"/>
  <c r="L222" i="9"/>
  <c r="L218" i="9"/>
  <c r="L214" i="9"/>
  <c r="L210" i="9"/>
  <c r="L206" i="9"/>
  <c r="L202" i="9"/>
  <c r="L198" i="9"/>
  <c r="L194" i="9"/>
  <c r="L190" i="9"/>
  <c r="L186" i="9"/>
  <c r="L182" i="9"/>
  <c r="L178" i="9"/>
  <c r="L174" i="9"/>
  <c r="L170" i="9"/>
  <c r="L166" i="9"/>
  <c r="L162" i="9"/>
  <c r="L158" i="9"/>
  <c r="L154" i="9"/>
  <c r="L150" i="9"/>
  <c r="L146" i="9"/>
  <c r="L142" i="9"/>
  <c r="L138" i="9"/>
  <c r="L134" i="9"/>
  <c r="L130" i="9"/>
  <c r="L126" i="9"/>
  <c r="L122" i="9"/>
  <c r="L118" i="9"/>
  <c r="L114" i="9"/>
  <c r="L110" i="9"/>
  <c r="L106" i="9"/>
  <c r="L102" i="9"/>
  <c r="L98" i="9"/>
  <c r="L94" i="9"/>
  <c r="L90" i="9"/>
  <c r="L86" i="9"/>
  <c r="L82" i="9"/>
  <c r="L78" i="9"/>
  <c r="L74" i="9"/>
  <c r="L70" i="9"/>
  <c r="L66" i="9"/>
  <c r="L62" i="9"/>
  <c r="L58" i="9"/>
  <c r="L54" i="9"/>
  <c r="L50" i="9"/>
  <c r="L46" i="9"/>
  <c r="L42" i="9"/>
  <c r="L38" i="9"/>
  <c r="L34" i="9"/>
  <c r="L30" i="9"/>
  <c r="L26" i="9"/>
  <c r="L22" i="9"/>
  <c r="L18" i="9"/>
  <c r="L14" i="9"/>
  <c r="L10" i="9"/>
  <c r="L6" i="9"/>
  <c r="L2" i="9"/>
  <c r="L1040" i="9"/>
  <c r="L740" i="9"/>
  <c r="L692" i="9"/>
  <c r="L644" i="9"/>
  <c r="L612" i="9"/>
  <c r="L548" i="9"/>
  <c r="L516" i="9"/>
  <c r="L484" i="9"/>
  <c r="L436" i="9"/>
  <c r="L404" i="9"/>
  <c r="L374" i="9"/>
  <c r="L350" i="9"/>
  <c r="L334" i="9"/>
  <c r="L318" i="9"/>
  <c r="L294" i="9"/>
  <c r="L281" i="9"/>
  <c r="L269" i="9"/>
  <c r="L257" i="9"/>
  <c r="L245" i="9"/>
  <c r="L229" i="9"/>
  <c r="L225" i="9"/>
  <c r="L213" i="9"/>
  <c r="L201" i="9"/>
  <c r="L189" i="9"/>
  <c r="L177" i="9"/>
  <c r="L169" i="9"/>
  <c r="L153" i="9"/>
  <c r="L145" i="9"/>
  <c r="L137" i="9"/>
  <c r="L125" i="9"/>
  <c r="L9" i="9"/>
  <c r="L25" i="9"/>
  <c r="L41" i="9"/>
  <c r="L57" i="9"/>
  <c r="L73" i="9"/>
  <c r="L89" i="9"/>
  <c r="L105" i="9"/>
  <c r="L121" i="9"/>
  <c r="B24" i="4"/>
  <c r="D24" i="4" s="1"/>
  <c r="B16" i="3" l="1"/>
  <c r="B15" i="3"/>
  <c r="B21" i="3" s="1"/>
</calcChain>
</file>

<file path=xl/sharedStrings.xml><?xml version="1.0" encoding="utf-8"?>
<sst xmlns="http://schemas.openxmlformats.org/spreadsheetml/2006/main" count="10122" uniqueCount="189">
  <si>
    <t>Distribution Network Optimization — Excel Operational Tools</t>
  </si>
  <si>
    <t>This workbook provides three operational tools built on top of the validated PuLP optimization (Notebooks 1-2) and Power BI report. It does not re-solve the facility-location model — Excel's free Solver caps at ~200 variables and this model has 304 (16 facility + 288 assignment). Instead each tab gives Excel a genuine, real role around the already-solved model.</t>
  </si>
  <si>
    <t>Tab</t>
  </si>
  <si>
    <t>Purpose</t>
  </si>
  <si>
    <t>Sensitivity Calculator</t>
  </si>
  <si>
    <t>Live what-if tool on the LOCKED optimal network (Model A, 6 plants). Adjust currency rate, freight rate, circuity factor, or annualization days and see recalculated annual cost. Does not re-optimize which plant serves which zone.</t>
  </si>
  <si>
    <t>Freight Quoting Tool</t>
  </si>
  <si>
    <t>Enter any Plant + destination Zone + shipment weight (+2-day requirement) and get a real freight cost quote, built from the actual weight-band tariff table and last-mile distance model.</t>
  </si>
  <si>
    <t>Solver Demo (3x4)</t>
  </si>
  <si>
    <t>A small, real subset (3 plants x 4 zones) of the actual facility-location problem, sized to fit Excel's free Solver. Use Data &gt; Solver to solve it live as a hands-on proof of the underlying mechanics.</t>
  </si>
  <si>
    <t>Color legend</t>
  </si>
  <si>
    <t>Blue text, yellow fill</t>
  </si>
  <si>
    <t>Editable input / assumption — change this</t>
  </si>
  <si>
    <t>Black text</t>
  </si>
  <si>
    <t>Formula — recalculates automatically, do not overtype</t>
  </si>
  <si>
    <t>Grey fill</t>
  </si>
  <si>
    <t>Reference data, copied from validated exports</t>
  </si>
  <si>
    <t>Known methodology note</t>
  </si>
  <si>
    <t>The last-mile (plant-to-zone) freight leg and the port-tariff weight-band selection in the underlying validated model use each zone's DAILY weight (total_weight_day), not the 5-day wave weight originally specified in the design charter. This was confirmed by exactly reproducing plant_zone_cost_inr from total_weight_day alone with no x5 factor anywhere in the calculation. It is a genuine gap between the locked design and the final implementation, carried forward here unchanged since it is what produced the accepted final results (Rs 292,050,200,000 optimized, 6.82% savings). Documented here rather than silently corrected.</t>
  </si>
  <si>
    <t>Data source</t>
  </si>
  <si>
    <t>final_candidate_pool.csv, customer_demand_regional.csv, freight_rates_processed.csv, model_a_lane_costs.csv, model_b_lane_costs.csv (user-provided exports). Model A optimized and Model B baseline assignments were not in the export and were independently re-derived here via PuLP; both reproduced the reported totals to within Rs 35,000 on a base of ~Rs 292-313 billion.</t>
  </si>
  <si>
    <t>Sensitivity calculator — Model A optimized network (6 plants, 18 zones)</t>
  </si>
  <si>
    <t>Adjusts assumptions on the LOCKED optimal assignment. Does not re-optimize which plant serves which zone.</t>
  </si>
  <si>
    <t>Assumptions (edit the yellow cells)</t>
  </si>
  <si>
    <t>USD to INR rate</t>
  </si>
  <si>
    <t>Reference (not adjustable)</t>
  </si>
  <si>
    <t>Last-mile rate (Rs/kg-km)</t>
  </si>
  <si>
    <t>Baseline annual cost (7-plant, from validated export)</t>
  </si>
  <si>
    <t>Road circuity factor</t>
  </si>
  <si>
    <t>Planning horizon (days)</t>
  </si>
  <si>
    <t>Annualization (operating days/yr)</t>
  </si>
  <si>
    <t>Waves per year (=annualization/horizon)</t>
  </si>
  <si>
    <t>Plant</t>
  </si>
  <si>
    <t>Zone</t>
  </si>
  <si>
    <t>Port</t>
  </si>
  <si>
    <t>Weight (kg)</t>
  </si>
  <si>
    <t>Raw distance (km)</t>
  </si>
  <si>
    <t>Units/wave</t>
  </si>
  <si>
    <t>Cost/unit (Rs)</t>
  </si>
  <si>
    <t>Fixed cost/yr (Rs)</t>
  </si>
  <si>
    <t>Min cost ($)</t>
  </si>
  <si>
    <t>Rate ($/kg)</t>
  </si>
  <si>
    <t>Transit days</t>
  </si>
  <si>
    <t>Adj. distance (km)</t>
  </si>
  <si>
    <t>Port-leg (Rs)</t>
  </si>
  <si>
    <t>Last-mile (Rs)</t>
  </si>
  <si>
    <t>Freight/wave (Rs)</t>
  </si>
  <si>
    <t>Variable/wave (Rs)</t>
  </si>
  <si>
    <t>Lane total/wave (Rs)</t>
  </si>
  <si>
    <t>Lane total/yr (Rs)</t>
  </si>
  <si>
    <t>PLANT07</t>
  </si>
  <si>
    <t>Ahmedabad</t>
  </si>
  <si>
    <t>PORT02</t>
  </si>
  <si>
    <t>PLANT04</t>
  </si>
  <si>
    <t>Bengaluru</t>
  </si>
  <si>
    <t>PORT05</t>
  </si>
  <si>
    <t>Bhopal</t>
  </si>
  <si>
    <t>PLANT13</t>
  </si>
  <si>
    <t>Chandigarh</t>
  </si>
  <si>
    <t>PORT04</t>
  </si>
  <si>
    <t>PLANT05</t>
  </si>
  <si>
    <t>Chennai</t>
  </si>
  <si>
    <t>PORT06</t>
  </si>
  <si>
    <t>Coimbatore</t>
  </si>
  <si>
    <t>PLANT03</t>
  </si>
  <si>
    <t>Delhi NCR</t>
  </si>
  <si>
    <t>Guwahati</t>
  </si>
  <si>
    <t>Hyderabad</t>
  </si>
  <si>
    <t>PLANT02</t>
  </si>
  <si>
    <t>Indore</t>
  </si>
  <si>
    <t>PORT03</t>
  </si>
  <si>
    <t>Jaipur</t>
  </si>
  <si>
    <t>Kochi</t>
  </si>
  <si>
    <t>Kolkata</t>
  </si>
  <si>
    <t>Lucknow</t>
  </si>
  <si>
    <t>Mumbai</t>
  </si>
  <si>
    <t>Nagpur</t>
  </si>
  <si>
    <t>Pune</t>
  </si>
  <si>
    <t>Visakhapatnam</t>
  </si>
  <si>
    <t>Total lane cost/yr (freight+variable, all 18 zones)</t>
  </si>
  <si>
    <t>Total fixed cost/yr (6 unique plants)</t>
  </si>
  <si>
    <t>GRAND TOTAL ANNUAL COST</t>
  </si>
  <si>
    <t>Savings % vs baseline (reference)</t>
  </si>
  <si>
    <t>Freight cost quoting tool</t>
  </si>
  <si>
    <t>Real weight-band tariffs + distance-based last-mile leg. Not limited to the 18 optimized zones -- any plant/zone pair works.</t>
  </si>
  <si>
    <t>Inputs</t>
  </si>
  <si>
    <t>Plant Code</t>
  </si>
  <si>
    <t>Destination Zone</t>
  </si>
  <si>
    <t>Shipment weight (kg)</t>
  </si>
  <si>
    <t>Require 2-day delivery?</t>
  </si>
  <si>
    <t>No</t>
  </si>
  <si>
    <t>Result</t>
  </si>
  <si>
    <t>Matched origin port</t>
  </si>
  <si>
    <t>Port-leg cost (Rs)</t>
  </si>
  <si>
    <t>Matched transit days</t>
  </si>
  <si>
    <t>Adjusted distance (km)</t>
  </si>
  <si>
    <t>Last-mile cost (Rs)</t>
  </si>
  <si>
    <t>TOTAL FREIGHT QUOTE (Rs)</t>
  </si>
  <si>
    <t>Small-scale Solver demonstration -- real data subset (3 plants x 4 zones)</t>
  </si>
  <si>
    <t>Illustrative proof of mechanics, not the production model (16x18 = 304 variables exceeds Excel's free Solver limit). All costs below are real, drawn from the same validated pipeline as the full model -- not invented for this demo. Use Data &gt; Solver to solve it live.</t>
  </si>
  <si>
    <t>Plants</t>
  </si>
  <si>
    <t>Zone demand</t>
  </si>
  <si>
    <t>Fixed cost/wave (Rs)</t>
  </si>
  <si>
    <t>Capacity/wave (orders)</t>
  </si>
  <si>
    <t>Open? (y_i, Solver fills)</t>
  </si>
  <si>
    <t>Orders/wave</t>
  </si>
  <si>
    <t>PLANT16</t>
  </si>
  <si>
    <t>PLANT09</t>
  </si>
  <si>
    <t>Lane cost (Rs/wave, fixed+variable+freight already combined per lane)</t>
  </si>
  <si>
    <t>Plant \ Zone</t>
  </si>
  <si>
    <t>Assignment (z_ij, Solver fills -- 1 if that plant serves that zone)</t>
  </si>
  <si>
    <t>Zone demand (row-aligned, = column G)</t>
  </si>
  <si>
    <t>Demand assigned</t>
  </si>
  <si>
    <t>Capacity</t>
  </si>
  <si>
    <t>OK?</t>
  </si>
  <si>
    <t>Single-sourcing check (must equal 1 for every zone)</t>
  </si>
  <si>
    <t>Sum z_ij</t>
  </si>
  <si>
    <t>OBJECTIVE: Total cost (Rs/wave) = SUM(fixed*y) + SUM(lane_cost*z)</t>
  </si>
  <si>
    <t>Solver setup (Data tab &gt; Solver)</t>
  </si>
  <si>
    <t>1. Set Objective: B29   Set to: Min</t>
  </si>
  <si>
    <t>2. By Changing Variable Cells: D6:D8, B17:E19</t>
  </si>
  <si>
    <t>3. Add Constraint: B27:E27 = 1  (single-sourcing)</t>
  </si>
  <si>
    <t>4. Add Constraint: B22:B24 &lt;= C22:C24  (capacity)</t>
  </si>
  <si>
    <t>5. Add Constraint: z_ij &lt;= y_i for each plant (link assignment to open decision -- add per row or via helper column)</t>
  </si>
  <si>
    <t>6. Add Constraint: D6:D8 = binary, B17:E19 = binary</t>
  </si>
  <si>
    <t>7. Solving method: Simplex LP (problem is a linear MIP once binary constraints are set)</t>
  </si>
  <si>
    <t>8. Click Solve</t>
  </si>
  <si>
    <t>Answer key -- check only after attempting Solver yourself</t>
  </si>
  <si>
    <t>Open plants: PLANT07, PLANT16 (PLANT09 stays closed -- too small to help, and its capacity is not needed)</t>
  </si>
  <si>
    <t>Chandigarh -&gt; PLANT16 (only plant with enough capacity for 1,760 orders/wave)</t>
  </si>
  <si>
    <t>Kolkata, Jaipur, Mumbai -&gt; PLANT07 (cheapest per-unit and per-lane option for all three)</t>
  </si>
  <si>
    <t>Objective (total cost/wave): Rs 2,179,929,641.46</t>
  </si>
  <si>
    <t xml:space="preserve">Why PLANT16 stays open despite being the most expensive plant in the whole 16-plant network (Rs 182/unit): </t>
  </si>
  <si>
    <t>capacity, not cost, forces it open for Chandigarh -- the same pattern PLANT03 and PLANT04 show in the full model.</t>
  </si>
  <si>
    <t>is_active</t>
  </si>
  <si>
    <t>city</t>
  </si>
  <si>
    <t>city_tier</t>
  </si>
  <si>
    <t>Daily Capacity</t>
  </si>
  <si>
    <t>fixed_cost_annual</t>
  </si>
  <si>
    <t>Cost_per_unit_INR</t>
  </si>
  <si>
    <t>PLANT01</t>
  </si>
  <si>
    <t>tier1</t>
  </si>
  <si>
    <t>tier2</t>
  </si>
  <si>
    <t>PLANT06</t>
  </si>
  <si>
    <t>PLANT08</t>
  </si>
  <si>
    <t>Surat</t>
  </si>
  <si>
    <t>PLANT10</t>
  </si>
  <si>
    <t>PLANT11</t>
  </si>
  <si>
    <t>PLANT12</t>
  </si>
  <si>
    <t>Patna</t>
  </si>
  <si>
    <t>PLANT14</t>
  </si>
  <si>
    <t>PORT07</t>
  </si>
  <si>
    <t>PLANT15</t>
  </si>
  <si>
    <t>PORT08</t>
  </si>
  <si>
    <t>PORT09</t>
  </si>
  <si>
    <t>order_count</t>
  </si>
  <si>
    <t>total_units_day</t>
  </si>
  <si>
    <t>total_weight_day</t>
  </si>
  <si>
    <t>zone_weight_kg (day-basis)</t>
  </si>
  <si>
    <t>Plant|Zone key</t>
  </si>
  <si>
    <t>Carrier</t>
  </si>
  <si>
    <t>orig_port_cd</t>
  </si>
  <si>
    <t>dest_port_cd</t>
  </si>
  <si>
    <t>minm_wgh_qty</t>
  </si>
  <si>
    <t>max_wgh_qty</t>
  </si>
  <si>
    <t>svc_cd</t>
  </si>
  <si>
    <t>minimum cost</t>
  </si>
  <si>
    <t>rate</t>
  </si>
  <si>
    <t>mode_dsc</t>
  </si>
  <si>
    <t>tpt_day_cnt</t>
  </si>
  <si>
    <t>Carrier type</t>
  </si>
  <si>
    <t>Cost if eligible (Rs)</t>
  </si>
  <si>
    <t>V444_6</t>
  </si>
  <si>
    <t>DTD</t>
  </si>
  <si>
    <t xml:space="preserve">AIR   </t>
  </si>
  <si>
    <t>V88888888_0</t>
  </si>
  <si>
    <t>PORT10</t>
  </si>
  <si>
    <t>V444_8</t>
  </si>
  <si>
    <t>PORT11</t>
  </si>
  <si>
    <t>V444_9</t>
  </si>
  <si>
    <t>V444_2</t>
  </si>
  <si>
    <t>DTP</t>
  </si>
  <si>
    <t>V444_1</t>
  </si>
  <si>
    <t>V888888883_1</t>
  </si>
  <si>
    <t>V444_0</t>
  </si>
  <si>
    <t>V444_5</t>
  </si>
  <si>
    <t>V444_4</t>
  </si>
  <si>
    <t>V444_7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</si>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</sst>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s &quot;#,##0"/>
    <numFmt numFmtId="165" formatCode="&quot;Rs &quot;#,##0.00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sz val="10"/>
      <color rgb="FF7F7F7F"/>
      <name val="Arial"/>
      <charset val="1"/>
    </font>
    <font>
      <i/>
      <sz val="1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B4F72"/>
        <bgColor rgb="FF333399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 applyBorder="1" applyAlignment="1"/>
    <xf numFmtId="0" fontId="1" fillId="0" borderId="0" xfId="0" applyFont="1" applyBorder="1" applyAlignment="1"/>
    <xf numFmtId="0" fontId="0" fillId="0" borderId="0" xfId="0" applyFont="1" applyBorder="1" applyAlignment="1">
      <alignment wrapText="1"/>
    </xf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>
      <alignment wrapText="1"/>
    </xf>
    <xf numFmtId="0" fontId="2" fillId="0" borderId="0" xfId="0" applyFont="1" applyAlignment="1"/>
    <xf numFmtId="0" fontId="3" fillId="2" borderId="0" xfId="0" applyFont="1" applyFill="1" applyAlignment="1"/>
    <xf numFmtId="0" fontId="0" fillId="3" borderId="0" xfId="0" applyFont="1" applyFill="1" applyAlignment="1"/>
    <xf numFmtId="0" fontId="5" fillId="0" borderId="0" xfId="0" applyFont="1" applyAlignment="1"/>
    <xf numFmtId="0" fontId="3" fillId="2" borderId="1" xfId="0" applyFont="1" applyFill="1" applyBorder="1" applyAlignment="1"/>
    <xf numFmtId="164" fontId="6" fillId="0" borderId="0" xfId="0" applyNumberFormat="1" applyFont="1" applyAlignment="1"/>
    <xf numFmtId="0" fontId="7" fillId="0" borderId="0" xfId="0" applyFont="1" applyAlignment="1"/>
    <xf numFmtId="2" fontId="8" fillId="0" borderId="0" xfId="0" applyNumberFormat="1" applyFont="1" applyAlignment="1"/>
    <xf numFmtId="0" fontId="9" fillId="4" borderId="1" xfId="0" applyFont="1" applyFill="1" applyBorder="1" applyAlignment="1">
      <alignment horizontal="center" wrapText="1"/>
    </xf>
    <xf numFmtId="0" fontId="8" fillId="0" borderId="1" xfId="0" applyFont="1" applyBorder="1" applyAlignment="1"/>
    <xf numFmtId="2" fontId="8" fillId="0" borderId="1" xfId="0" applyNumberFormat="1" applyFont="1" applyBorder="1" applyAlignment="1"/>
    <xf numFmtId="164" fontId="8" fillId="0" borderId="1" xfId="0" applyNumberFormat="1" applyFont="1" applyBorder="1" applyAlignment="1"/>
    <xf numFmtId="164" fontId="2" fillId="5" borderId="0" xfId="0" applyNumberFormat="1" applyFont="1" applyFill="1" applyAlignment="1"/>
    <xf numFmtId="0" fontId="10" fillId="0" borderId="0" xfId="0" applyFont="1" applyAlignment="1"/>
    <xf numFmtId="164" fontId="10" fillId="5" borderId="0" xfId="0" applyNumberFormat="1" applyFont="1" applyFill="1" applyAlignment="1"/>
    <xf numFmtId="10" fontId="2" fillId="5" borderId="0" xfId="0" applyNumberFormat="1" applyFont="1" applyFill="1" applyAlignment="1"/>
    <xf numFmtId="0" fontId="4" fillId="0" borderId="0" xfId="0" applyFont="1" applyAlignment="1"/>
    <xf numFmtId="165" fontId="8" fillId="0" borderId="1" xfId="0" applyNumberFormat="1" applyFont="1" applyBorder="1" applyAlignment="1"/>
    <xf numFmtId="165" fontId="10" fillId="5" borderId="1" xfId="0" applyNumberFormat="1" applyFont="1" applyFill="1" applyBorder="1" applyAlignment="1"/>
    <xf numFmtId="0" fontId="9" fillId="4" borderId="1" xfId="0" applyFont="1" applyFill="1" applyBorder="1" applyAlignment="1">
      <alignment wrapText="1"/>
    </xf>
    <xf numFmtId="0" fontId="9" fillId="4" borderId="1" xfId="0" applyFont="1" applyFill="1" applyBorder="1" applyAlignment="1"/>
    <xf numFmtId="0" fontId="0" fillId="0" borderId="1" xfId="0" applyFont="1" applyBorder="1" applyAlignment="1"/>
    <xf numFmtId="164" fontId="0" fillId="0" borderId="1" xfId="0" applyNumberFormat="1" applyBorder="1" applyAlignment="1"/>
    <xf numFmtId="0" fontId="2" fillId="0" borderId="1" xfId="0" applyFont="1" applyBorder="1" applyAlignment="1"/>
    <xf numFmtId="0" fontId="8" fillId="0" borderId="0" xfId="0" applyFont="1" applyAlignment="1"/>
    <xf numFmtId="0" fontId="5" fillId="3" borderId="1" xfId="0" applyFont="1" applyFill="1" applyBorder="1" applyAlignment="1"/>
    <xf numFmtId="0" fontId="9" fillId="4" borderId="1" xfId="0" applyFont="1" applyFill="1" applyBorder="1"/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Normal="100" workbookViewId="0"/>
  </sheetViews>
  <sheetFormatPr defaultColWidth="8.7109375" defaultRowHeight="15" x14ac:dyDescent="0.25"/>
  <cols>
    <col min="1" max="1" width="117.42578125" style="4" customWidth="1"/>
  </cols>
  <sheetData>
    <row r="1" spans="1:2" ht="17.25" customHeight="1" x14ac:dyDescent="0.25">
      <c r="A1" s="5" t="s">
        <v>0</v>
      </c>
    </row>
    <row r="3" spans="1:2" ht="45" customHeight="1" x14ac:dyDescent="0.25">
      <c r="A3" s="6" t="s">
        <v>1</v>
      </c>
    </row>
    <row r="6" spans="1:2" ht="30" customHeight="1" x14ac:dyDescent="0.25">
      <c r="A6" s="7" t="s">
        <v>2</v>
      </c>
      <c r="B6" s="6" t="s">
        <v>3</v>
      </c>
    </row>
    <row r="8" spans="1:2" ht="30" customHeight="1" x14ac:dyDescent="0.25">
      <c r="A8" s="7" t="s">
        <v>4</v>
      </c>
      <c r="B8" s="6" t="s">
        <v>5</v>
      </c>
    </row>
    <row r="10" spans="1:2" ht="30" customHeight="1" x14ac:dyDescent="0.25">
      <c r="A10" s="7" t="s">
        <v>6</v>
      </c>
      <c r="B10" s="6" t="s">
        <v>7</v>
      </c>
    </row>
    <row r="12" spans="1:2" ht="30" customHeight="1" x14ac:dyDescent="0.25">
      <c r="A12" s="7" t="s">
        <v>8</v>
      </c>
      <c r="B12" s="6" t="s">
        <v>9</v>
      </c>
    </row>
    <row r="15" spans="1:2" ht="15" customHeight="1" x14ac:dyDescent="0.25">
      <c r="A15" s="7" t="s">
        <v>10</v>
      </c>
    </row>
    <row r="16" spans="1:2" ht="15" customHeight="1" x14ac:dyDescent="0.25">
      <c r="A16" s="8" t="s">
        <v>11</v>
      </c>
      <c r="B16" s="4" t="s">
        <v>12</v>
      </c>
    </row>
    <row r="17" spans="1:2" ht="15" customHeight="1" x14ac:dyDescent="0.25">
      <c r="A17" s="4" t="s">
        <v>13</v>
      </c>
      <c r="B17" s="4" t="s">
        <v>14</v>
      </c>
    </row>
    <row r="18" spans="1:2" ht="15" customHeight="1" x14ac:dyDescent="0.25">
      <c r="A18" s="9" t="s">
        <v>15</v>
      </c>
      <c r="B18" s="4" t="s">
        <v>16</v>
      </c>
    </row>
    <row r="21" spans="1:2" ht="15" customHeight="1" x14ac:dyDescent="0.25">
      <c r="A21" s="7" t="s">
        <v>17</v>
      </c>
    </row>
    <row r="22" spans="1:2" ht="90" customHeight="1" x14ac:dyDescent="0.25">
      <c r="A22" s="3" t="s">
        <v>18</v>
      </c>
      <c r="B22" s="3"/>
    </row>
    <row r="25" spans="1:2" ht="15" customHeight="1" x14ac:dyDescent="0.25">
      <c r="A25" s="7" t="s">
        <v>19</v>
      </c>
    </row>
    <row r="26" spans="1:2" ht="45" customHeight="1" x14ac:dyDescent="0.25">
      <c r="A26" s="6" t="s">
        <v>20</v>
      </c>
    </row>
  </sheetData>
  <mergeCells count="1">
    <mergeCell ref="A22:B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showGridLines="0" topLeftCell="I7" zoomScaleNormal="100" workbookViewId="0">
      <selection sqref="A1:M1"/>
    </sheetView>
  </sheetViews>
  <sheetFormatPr defaultColWidth="8.7109375" defaultRowHeight="15" x14ac:dyDescent="0.25"/>
  <cols>
    <col min="1" max="2" width="13" style="4" customWidth="1"/>
    <col min="3" max="3" width="11" style="4" customWidth="1"/>
    <col min="4" max="4" width="12" style="4" customWidth="1"/>
    <col min="5" max="5" width="15" style="4" customWidth="1"/>
    <col min="6" max="6" width="13" style="4" customWidth="1"/>
    <col min="7" max="7" width="15" style="4" customWidth="1"/>
    <col min="8" max="8" width="17" style="4" customWidth="1"/>
    <col min="9" max="9" width="18" style="4" customWidth="1"/>
    <col min="10" max="11" width="15" style="4" customWidth="1"/>
    <col min="12" max="13" width="17" style="4" customWidth="1"/>
    <col min="14" max="14" width="14.5703125" customWidth="1"/>
    <col min="15" max="15" width="19.42578125" customWidth="1"/>
    <col min="16" max="16" width="17.85546875" customWidth="1"/>
    <col min="17" max="17" width="19.42578125" customWidth="1"/>
    <col min="18" max="18" width="23.28515625" customWidth="1"/>
  </cols>
  <sheetData>
    <row r="1" spans="1:18" ht="17.25" customHeight="1" x14ac:dyDescent="0.25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8" ht="15" customHeight="1" x14ac:dyDescent="0.25">
      <c r="A2" s="1" t="s">
        <v>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8" ht="15" customHeight="1" x14ac:dyDescent="0.25">
      <c r="A3" s="7" t="s">
        <v>23</v>
      </c>
    </row>
    <row r="4" spans="1:18" ht="15" customHeight="1" x14ac:dyDescent="0.25">
      <c r="A4" s="10" t="s">
        <v>24</v>
      </c>
      <c r="B4" s="11">
        <v>95</v>
      </c>
      <c r="E4" s="7" t="s">
        <v>25</v>
      </c>
    </row>
    <row r="5" spans="1:18" ht="15" customHeight="1" x14ac:dyDescent="0.25">
      <c r="A5" s="10" t="s">
        <v>26</v>
      </c>
      <c r="B5" s="11">
        <v>5.0000000000000001E-3</v>
      </c>
      <c r="E5" s="4" t="s">
        <v>27</v>
      </c>
      <c r="G5" s="12">
        <v>313429800000</v>
      </c>
    </row>
    <row r="6" spans="1:18" ht="15" customHeight="1" x14ac:dyDescent="0.25">
      <c r="A6" s="10" t="s">
        <v>28</v>
      </c>
      <c r="B6" s="11">
        <v>1.3</v>
      </c>
    </row>
    <row r="7" spans="1:18" ht="15" customHeight="1" x14ac:dyDescent="0.25">
      <c r="A7" s="10" t="s">
        <v>29</v>
      </c>
      <c r="B7" s="11">
        <v>5</v>
      </c>
    </row>
    <row r="8" spans="1:18" ht="15" customHeight="1" x14ac:dyDescent="0.25">
      <c r="A8" s="10" t="s">
        <v>30</v>
      </c>
      <c r="B8" s="11">
        <v>250</v>
      </c>
    </row>
    <row r="9" spans="1:18" ht="15" customHeight="1" x14ac:dyDescent="0.25">
      <c r="A9" s="13" t="s">
        <v>31</v>
      </c>
      <c r="B9" s="14">
        <f>B8/B7</f>
        <v>50</v>
      </c>
    </row>
    <row r="12" spans="1:18" ht="34.5" customHeight="1" x14ac:dyDescent="0.25">
      <c r="A12" s="15" t="s">
        <v>32</v>
      </c>
      <c r="B12" s="15" t="s">
        <v>33</v>
      </c>
      <c r="C12" s="15" t="s">
        <v>34</v>
      </c>
      <c r="D12" s="15" t="s">
        <v>35</v>
      </c>
      <c r="E12" s="15" t="s">
        <v>36</v>
      </c>
      <c r="F12" s="15" t="s">
        <v>37</v>
      </c>
      <c r="G12" s="15" t="s">
        <v>38</v>
      </c>
      <c r="H12" s="15" t="s">
        <v>39</v>
      </c>
      <c r="I12" s="15" t="s">
        <v>40</v>
      </c>
      <c r="J12" s="15" t="s">
        <v>41</v>
      </c>
      <c r="K12" s="15" t="s">
        <v>42</v>
      </c>
      <c r="L12" s="15" t="s">
        <v>43</v>
      </c>
      <c r="M12" s="15" t="s">
        <v>44</v>
      </c>
      <c r="N12" s="15" t="s">
        <v>45</v>
      </c>
      <c r="O12" s="15" t="s">
        <v>46</v>
      </c>
      <c r="P12" s="15" t="s">
        <v>47</v>
      </c>
      <c r="Q12" s="15" t="s">
        <v>48</v>
      </c>
      <c r="R12" s="15" t="s">
        <v>49</v>
      </c>
    </row>
    <row r="13" spans="1:18" ht="15" customHeight="1" x14ac:dyDescent="0.25">
      <c r="A13" s="16" t="s">
        <v>50</v>
      </c>
      <c r="B13" s="16" t="s">
        <v>51</v>
      </c>
      <c r="C13" s="16" t="s">
        <v>52</v>
      </c>
      <c r="D13" s="16">
        <v>5343.8</v>
      </c>
      <c r="E13" s="16">
        <v>703.08</v>
      </c>
      <c r="F13" s="16">
        <v>10077735</v>
      </c>
      <c r="G13" s="16">
        <v>35.285274055417403</v>
      </c>
      <c r="H13" s="16">
        <v>2862000</v>
      </c>
      <c r="I13" s="16">
        <v>17.515599999999999</v>
      </c>
      <c r="J13" s="16">
        <v>4.8399999999999999E-2</v>
      </c>
      <c r="K13" s="16">
        <v>14</v>
      </c>
      <c r="L13" s="17">
        <f t="shared" ref="L13:L30" si="0">E13*$B$6</f>
        <v>914.00400000000013</v>
      </c>
      <c r="M13" s="18">
        <f t="shared" ref="M13:M30" si="1">MAX(I13,D13*J13)*$B$4</f>
        <v>24570.792400000002</v>
      </c>
      <c r="N13" s="18">
        <f t="shared" ref="N13:N30" si="2">L13*D13*$B$5</f>
        <v>24421.272876000003</v>
      </c>
      <c r="O13" s="18">
        <f t="shared" ref="O13:O30" si="3">M13+N13</f>
        <v>48992.065276000008</v>
      </c>
      <c r="P13" s="18">
        <f t="shared" ref="P13:P30" si="4">G13*F13</f>
        <v>355595641.33287191</v>
      </c>
      <c r="Q13" s="18">
        <f t="shared" ref="Q13:Q30" si="5">O13+P13</f>
        <v>355644633.39814794</v>
      </c>
      <c r="R13" s="18">
        <f t="shared" ref="R13:R30" si="6">Q13*$B$9</f>
        <v>17782231669.907398</v>
      </c>
    </row>
    <row r="14" spans="1:18" ht="15" customHeight="1" x14ac:dyDescent="0.25">
      <c r="A14" s="16" t="s">
        <v>53</v>
      </c>
      <c r="B14" s="16" t="s">
        <v>54</v>
      </c>
      <c r="C14" s="16" t="s">
        <v>55</v>
      </c>
      <c r="D14" s="16">
        <v>6653.61</v>
      </c>
      <c r="E14" s="16">
        <v>1976.77</v>
      </c>
      <c r="F14" s="16">
        <v>4119250</v>
      </c>
      <c r="G14" s="16">
        <v>40.707813039080598</v>
      </c>
      <c r="H14" s="16">
        <v>5983200</v>
      </c>
      <c r="I14" s="16">
        <v>5.8071999999999999</v>
      </c>
      <c r="J14" s="16">
        <v>7.1999999999999995E-2</v>
      </c>
      <c r="K14" s="16">
        <v>3</v>
      </c>
      <c r="L14" s="17">
        <f t="shared" si="0"/>
        <v>2569.8009999999999</v>
      </c>
      <c r="M14" s="18">
        <f t="shared" si="1"/>
        <v>45510.692399999993</v>
      </c>
      <c r="N14" s="18">
        <f t="shared" si="2"/>
        <v>85492.268158049992</v>
      </c>
      <c r="O14" s="18">
        <f t="shared" si="3"/>
        <v>131002.96055804999</v>
      </c>
      <c r="P14" s="18">
        <f t="shared" si="4"/>
        <v>167685658.86123276</v>
      </c>
      <c r="Q14" s="18">
        <f t="shared" si="5"/>
        <v>167816661.82179081</v>
      </c>
      <c r="R14" s="18">
        <f t="shared" si="6"/>
        <v>8390833091.0895405</v>
      </c>
    </row>
    <row r="15" spans="1:18" ht="15" customHeight="1" x14ac:dyDescent="0.25">
      <c r="A15" s="16" t="s">
        <v>53</v>
      </c>
      <c r="B15" s="16" t="s">
        <v>56</v>
      </c>
      <c r="C15" s="16" t="s">
        <v>55</v>
      </c>
      <c r="D15" s="16">
        <v>9430.86</v>
      </c>
      <c r="E15" s="16">
        <v>833.38</v>
      </c>
      <c r="F15" s="16">
        <v>27608425</v>
      </c>
      <c r="G15" s="16">
        <v>40.707813039080598</v>
      </c>
      <c r="H15" s="16">
        <v>5983200</v>
      </c>
      <c r="I15" s="16">
        <v>5.8071999999999999</v>
      </c>
      <c r="J15" s="16">
        <v>7.1999999999999995E-2</v>
      </c>
      <c r="K15" s="16">
        <v>3</v>
      </c>
      <c r="L15" s="17">
        <f t="shared" si="0"/>
        <v>1083.394</v>
      </c>
      <c r="M15" s="18">
        <f t="shared" si="1"/>
        <v>64507.082399999999</v>
      </c>
      <c r="N15" s="18">
        <f t="shared" si="2"/>
        <v>51086.685694200009</v>
      </c>
      <c r="O15" s="18">
        <f t="shared" si="3"/>
        <v>115593.7680942</v>
      </c>
      <c r="P15" s="18">
        <f t="shared" si="4"/>
        <v>1123878603.2034788</v>
      </c>
      <c r="Q15" s="18">
        <f t="shared" si="5"/>
        <v>1123994196.9715731</v>
      </c>
      <c r="R15" s="18">
        <f t="shared" si="6"/>
        <v>56199709848.578659</v>
      </c>
    </row>
    <row r="16" spans="1:18" ht="15" customHeight="1" x14ac:dyDescent="0.25">
      <c r="A16" s="16" t="s">
        <v>57</v>
      </c>
      <c r="B16" s="16" t="s">
        <v>58</v>
      </c>
      <c r="C16" s="16" t="s">
        <v>59</v>
      </c>
      <c r="D16" s="16">
        <v>29329.46</v>
      </c>
      <c r="E16" s="16">
        <v>998.38</v>
      </c>
      <c r="F16" s="16">
        <v>10538745</v>
      </c>
      <c r="G16" s="16">
        <v>44.622170375243698</v>
      </c>
      <c r="H16" s="16">
        <v>5292000</v>
      </c>
      <c r="I16" s="16">
        <v>1.4992000000000001</v>
      </c>
      <c r="J16" s="16">
        <v>4.24E-2</v>
      </c>
      <c r="K16" s="16">
        <v>3</v>
      </c>
      <c r="L16" s="17">
        <f t="shared" si="0"/>
        <v>1297.894</v>
      </c>
      <c r="M16" s="18">
        <f t="shared" si="1"/>
        <v>118139.06487999999</v>
      </c>
      <c r="N16" s="18">
        <f t="shared" si="2"/>
        <v>190332.65078619999</v>
      </c>
      <c r="O16" s="18">
        <f t="shared" si="3"/>
        <v>308471.71566619998</v>
      </c>
      <c r="P16" s="18">
        <f t="shared" si="4"/>
        <v>470261674.93124765</v>
      </c>
      <c r="Q16" s="18">
        <f t="shared" si="5"/>
        <v>470570146.64691383</v>
      </c>
      <c r="R16" s="18">
        <f t="shared" si="6"/>
        <v>23528507332.345692</v>
      </c>
    </row>
    <row r="17" spans="1:18" ht="15" customHeight="1" x14ac:dyDescent="0.25">
      <c r="A17" s="16" t="s">
        <v>60</v>
      </c>
      <c r="B17" s="16" t="s">
        <v>61</v>
      </c>
      <c r="C17" s="16" t="s">
        <v>62</v>
      </c>
      <c r="D17" s="16">
        <v>14341.74</v>
      </c>
      <c r="E17" s="16">
        <v>1767.62</v>
      </c>
      <c r="F17" s="16">
        <v>7447135</v>
      </c>
      <c r="G17" s="16">
        <v>46.373716530101397</v>
      </c>
      <c r="H17" s="16">
        <v>8085000</v>
      </c>
      <c r="I17" s="16">
        <v>5.4272</v>
      </c>
      <c r="J17" s="16">
        <v>7.3999999999999996E-2</v>
      </c>
      <c r="K17" s="16">
        <v>2</v>
      </c>
      <c r="L17" s="17">
        <f t="shared" si="0"/>
        <v>2297.9059999999999</v>
      </c>
      <c r="M17" s="18">
        <f t="shared" si="1"/>
        <v>100822.4322</v>
      </c>
      <c r="N17" s="18">
        <f t="shared" si="2"/>
        <v>164779.85198219999</v>
      </c>
      <c r="O17" s="18">
        <f t="shared" si="3"/>
        <v>265602.28418219998</v>
      </c>
      <c r="P17" s="18">
        <f t="shared" si="4"/>
        <v>345351327.45139664</v>
      </c>
      <c r="Q17" s="18">
        <f t="shared" si="5"/>
        <v>345616929.73557884</v>
      </c>
      <c r="R17" s="18">
        <f t="shared" si="6"/>
        <v>17280846486.778942</v>
      </c>
    </row>
    <row r="18" spans="1:18" ht="15" customHeight="1" x14ac:dyDescent="0.25">
      <c r="A18" s="16" t="s">
        <v>53</v>
      </c>
      <c r="B18" s="16" t="s">
        <v>63</v>
      </c>
      <c r="C18" s="16" t="s">
        <v>55</v>
      </c>
      <c r="D18" s="16">
        <v>16571.400000000001</v>
      </c>
      <c r="E18" s="16">
        <v>2192.46</v>
      </c>
      <c r="F18" s="16">
        <v>9547165</v>
      </c>
      <c r="G18" s="16">
        <v>40.707813039080598</v>
      </c>
      <c r="H18" s="16">
        <v>5983200</v>
      </c>
      <c r="I18" s="16">
        <v>5.8071999999999999</v>
      </c>
      <c r="J18" s="16">
        <v>7.1999999999999995E-2</v>
      </c>
      <c r="K18" s="16">
        <v>3</v>
      </c>
      <c r="L18" s="17">
        <f t="shared" si="0"/>
        <v>2850.1980000000003</v>
      </c>
      <c r="M18" s="18">
        <f t="shared" si="1"/>
        <v>113348.37600000002</v>
      </c>
      <c r="N18" s="18">
        <f t="shared" si="2"/>
        <v>236158.85568600008</v>
      </c>
      <c r="O18" s="18">
        <f t="shared" si="3"/>
        <v>349507.23168600013</v>
      </c>
      <c r="P18" s="18">
        <f t="shared" si="4"/>
        <v>388644207.87325394</v>
      </c>
      <c r="Q18" s="18">
        <f t="shared" si="5"/>
        <v>388993715.10493994</v>
      </c>
      <c r="R18" s="18">
        <f t="shared" si="6"/>
        <v>19449685755.246998</v>
      </c>
    </row>
    <row r="19" spans="1:18" ht="15" customHeight="1" x14ac:dyDescent="0.25">
      <c r="A19" s="16" t="s">
        <v>64</v>
      </c>
      <c r="B19" s="16" t="s">
        <v>65</v>
      </c>
      <c r="C19" s="16" t="s">
        <v>59</v>
      </c>
      <c r="D19" s="16">
        <v>8622.4500000000007</v>
      </c>
      <c r="E19" s="16">
        <v>1317.77</v>
      </c>
      <c r="F19" s="16">
        <v>5453805</v>
      </c>
      <c r="G19" s="16">
        <v>49.162679704418899</v>
      </c>
      <c r="H19" s="16">
        <v>21273000</v>
      </c>
      <c r="I19" s="16">
        <v>1.4992000000000001</v>
      </c>
      <c r="J19" s="16">
        <v>4.24E-2</v>
      </c>
      <c r="K19" s="16">
        <v>3</v>
      </c>
      <c r="L19" s="17">
        <f t="shared" si="0"/>
        <v>1713.1010000000001</v>
      </c>
      <c r="M19" s="18">
        <f t="shared" si="1"/>
        <v>34731.228600000002</v>
      </c>
      <c r="N19" s="18">
        <f t="shared" si="2"/>
        <v>73855.63858725001</v>
      </c>
      <c r="O19" s="18">
        <f t="shared" si="3"/>
        <v>108586.86718725001</v>
      </c>
      <c r="P19" s="18">
        <f t="shared" si="4"/>
        <v>268123668.3853583</v>
      </c>
      <c r="Q19" s="18">
        <f t="shared" si="5"/>
        <v>268232255.25254557</v>
      </c>
      <c r="R19" s="18">
        <f t="shared" si="6"/>
        <v>13411612762.627277</v>
      </c>
    </row>
    <row r="20" spans="1:18" ht="15" customHeight="1" x14ac:dyDescent="0.25">
      <c r="A20" s="16" t="s">
        <v>50</v>
      </c>
      <c r="B20" s="16" t="s">
        <v>66</v>
      </c>
      <c r="C20" s="16" t="s">
        <v>52</v>
      </c>
      <c r="D20" s="16">
        <v>446.57</v>
      </c>
      <c r="E20" s="16">
        <v>1402.15</v>
      </c>
      <c r="F20" s="16">
        <v>75625</v>
      </c>
      <c r="G20" s="16">
        <v>35.285274055417403</v>
      </c>
      <c r="H20" s="16">
        <v>2862000</v>
      </c>
      <c r="I20" s="16">
        <v>17.515599999999999</v>
      </c>
      <c r="J20" s="16">
        <v>4.8399999999999999E-2</v>
      </c>
      <c r="K20" s="16">
        <v>14</v>
      </c>
      <c r="L20" s="17">
        <f t="shared" si="0"/>
        <v>1822.7950000000001</v>
      </c>
      <c r="M20" s="18">
        <f t="shared" si="1"/>
        <v>2053.3288600000001</v>
      </c>
      <c r="N20" s="18">
        <f t="shared" si="2"/>
        <v>4070.0278157500002</v>
      </c>
      <c r="O20" s="18">
        <f t="shared" si="3"/>
        <v>6123.3566757500002</v>
      </c>
      <c r="P20" s="18">
        <f t="shared" si="4"/>
        <v>2668448.8504409413</v>
      </c>
      <c r="Q20" s="18">
        <f t="shared" si="5"/>
        <v>2674572.2071166914</v>
      </c>
      <c r="R20" s="18">
        <f t="shared" si="6"/>
        <v>133728610.35583457</v>
      </c>
    </row>
    <row r="21" spans="1:18" ht="15" customHeight="1" x14ac:dyDescent="0.25">
      <c r="A21" s="16" t="s">
        <v>50</v>
      </c>
      <c r="B21" s="16" t="s">
        <v>67</v>
      </c>
      <c r="C21" s="16" t="s">
        <v>52</v>
      </c>
      <c r="D21" s="16">
        <v>1466.22</v>
      </c>
      <c r="E21" s="16">
        <v>422.92</v>
      </c>
      <c r="F21" s="16">
        <v>348885</v>
      </c>
      <c r="G21" s="16">
        <v>35.285274055417403</v>
      </c>
      <c r="H21" s="16">
        <v>2862000</v>
      </c>
      <c r="I21" s="16">
        <v>17.515599999999999</v>
      </c>
      <c r="J21" s="16">
        <v>4.8399999999999999E-2</v>
      </c>
      <c r="K21" s="16">
        <v>14</v>
      </c>
      <c r="L21" s="17">
        <f t="shared" si="0"/>
        <v>549.79600000000005</v>
      </c>
      <c r="M21" s="18">
        <f t="shared" si="1"/>
        <v>6741.6795599999996</v>
      </c>
      <c r="N21" s="18">
        <f t="shared" si="2"/>
        <v>4030.6094556000003</v>
      </c>
      <c r="O21" s="18">
        <f t="shared" si="3"/>
        <v>10772.289015599999</v>
      </c>
      <c r="P21" s="18">
        <f t="shared" si="4"/>
        <v>12310502.8388243</v>
      </c>
      <c r="Q21" s="18">
        <f t="shared" si="5"/>
        <v>12321275.127839901</v>
      </c>
      <c r="R21" s="18">
        <f t="shared" si="6"/>
        <v>616063756.39199507</v>
      </c>
    </row>
    <row r="22" spans="1:18" ht="15" customHeight="1" x14ac:dyDescent="0.25">
      <c r="A22" s="16" t="s">
        <v>68</v>
      </c>
      <c r="B22" s="16" t="s">
        <v>69</v>
      </c>
      <c r="C22" s="16" t="s">
        <v>70</v>
      </c>
      <c r="D22" s="16">
        <v>2955.32</v>
      </c>
      <c r="E22" s="16">
        <v>466.31</v>
      </c>
      <c r="F22" s="16">
        <v>1531355</v>
      </c>
      <c r="G22" s="16">
        <v>45.362834298086099</v>
      </c>
      <c r="H22" s="16">
        <v>1490400</v>
      </c>
      <c r="I22" s="16">
        <v>19.3644</v>
      </c>
      <c r="J22" s="16">
        <v>0.11559999999999999</v>
      </c>
      <c r="K22" s="16">
        <v>14</v>
      </c>
      <c r="L22" s="17">
        <f t="shared" si="0"/>
        <v>606.20299999999997</v>
      </c>
      <c r="M22" s="18">
        <f t="shared" si="1"/>
        <v>32455.324240000002</v>
      </c>
      <c r="N22" s="18">
        <f t="shared" si="2"/>
        <v>8957.6192498</v>
      </c>
      <c r="O22" s="18">
        <f t="shared" si="3"/>
        <v>41412.943489800004</v>
      </c>
      <c r="P22" s="18">
        <f t="shared" si="4"/>
        <v>69466603.116545632</v>
      </c>
      <c r="Q22" s="18">
        <f t="shared" si="5"/>
        <v>69508016.060035437</v>
      </c>
      <c r="R22" s="18">
        <f t="shared" si="6"/>
        <v>3475400803.0017719</v>
      </c>
    </row>
    <row r="23" spans="1:18" ht="15" customHeight="1" x14ac:dyDescent="0.25">
      <c r="A23" s="16" t="s">
        <v>68</v>
      </c>
      <c r="B23" s="16" t="s">
        <v>71</v>
      </c>
      <c r="C23" s="16" t="s">
        <v>70</v>
      </c>
      <c r="D23" s="16">
        <v>1554.12</v>
      </c>
      <c r="E23" s="16">
        <v>0</v>
      </c>
      <c r="F23" s="16">
        <v>1428300</v>
      </c>
      <c r="G23" s="16">
        <v>45.362834298086099</v>
      </c>
      <c r="H23" s="16">
        <v>1490400</v>
      </c>
      <c r="I23" s="16">
        <v>19.3644</v>
      </c>
      <c r="J23" s="16">
        <v>0.11559999999999999</v>
      </c>
      <c r="K23" s="16">
        <v>14</v>
      </c>
      <c r="L23" s="17">
        <f t="shared" si="0"/>
        <v>0</v>
      </c>
      <c r="M23" s="18">
        <f t="shared" si="1"/>
        <v>17067.345839999998</v>
      </c>
      <c r="N23" s="18">
        <f t="shared" si="2"/>
        <v>0</v>
      </c>
      <c r="O23" s="18">
        <f t="shared" si="3"/>
        <v>17067.345839999998</v>
      </c>
      <c r="P23" s="18">
        <f t="shared" si="4"/>
        <v>64791736.227956377</v>
      </c>
      <c r="Q23" s="18">
        <f t="shared" si="5"/>
        <v>64808803.573796377</v>
      </c>
      <c r="R23" s="18">
        <f t="shared" si="6"/>
        <v>3240440178.6898189</v>
      </c>
    </row>
    <row r="24" spans="1:18" ht="15" customHeight="1" x14ac:dyDescent="0.25">
      <c r="A24" s="16" t="s">
        <v>53</v>
      </c>
      <c r="B24" s="16" t="s">
        <v>72</v>
      </c>
      <c r="C24" s="16" t="s">
        <v>55</v>
      </c>
      <c r="D24" s="16">
        <v>18988.48</v>
      </c>
      <c r="E24" s="16">
        <v>2313.69</v>
      </c>
      <c r="F24" s="16">
        <v>7587715</v>
      </c>
      <c r="G24" s="16">
        <v>40.707813039080598</v>
      </c>
      <c r="H24" s="16">
        <v>5983200</v>
      </c>
      <c r="I24" s="16">
        <v>5.8071999999999999</v>
      </c>
      <c r="J24" s="16">
        <v>7.1999999999999995E-2</v>
      </c>
      <c r="K24" s="16">
        <v>3</v>
      </c>
      <c r="L24" s="17">
        <f t="shared" si="0"/>
        <v>3007.797</v>
      </c>
      <c r="M24" s="18">
        <f t="shared" si="1"/>
        <v>129881.20319999997</v>
      </c>
      <c r="N24" s="18">
        <f t="shared" si="2"/>
        <v>285567.46589280001</v>
      </c>
      <c r="O24" s="18">
        <f t="shared" si="3"/>
        <v>415448.6690928</v>
      </c>
      <c r="P24" s="18">
        <f t="shared" si="4"/>
        <v>308879283.61382747</v>
      </c>
      <c r="Q24" s="18">
        <f t="shared" si="5"/>
        <v>309294732.28292024</v>
      </c>
      <c r="R24" s="18">
        <f t="shared" si="6"/>
        <v>15464736614.146011</v>
      </c>
    </row>
    <row r="25" spans="1:18" ht="15" customHeight="1" x14ac:dyDescent="0.25">
      <c r="A25" s="16" t="s">
        <v>57</v>
      </c>
      <c r="B25" s="16" t="s">
        <v>73</v>
      </c>
      <c r="C25" s="16" t="s">
        <v>59</v>
      </c>
      <c r="D25" s="16">
        <v>7298.37</v>
      </c>
      <c r="E25" s="16">
        <v>469.15</v>
      </c>
      <c r="F25" s="16">
        <v>3503980</v>
      </c>
      <c r="G25" s="16">
        <v>44.622170375243698</v>
      </c>
      <c r="H25" s="16">
        <v>5292000</v>
      </c>
      <c r="I25" s="16">
        <v>1.4992000000000001</v>
      </c>
      <c r="J25" s="16">
        <v>4.24E-2</v>
      </c>
      <c r="K25" s="16">
        <v>3</v>
      </c>
      <c r="L25" s="17">
        <f t="shared" si="0"/>
        <v>609.89499999999998</v>
      </c>
      <c r="M25" s="18">
        <f t="shared" si="1"/>
        <v>29397.834360000001</v>
      </c>
      <c r="N25" s="18">
        <f t="shared" si="2"/>
        <v>22256.19685575</v>
      </c>
      <c r="O25" s="18">
        <f t="shared" si="3"/>
        <v>51654.031215750001</v>
      </c>
      <c r="P25" s="18">
        <f t="shared" si="4"/>
        <v>156355192.55144641</v>
      </c>
      <c r="Q25" s="18">
        <f t="shared" si="5"/>
        <v>156406846.58266217</v>
      </c>
      <c r="R25" s="18">
        <f t="shared" si="6"/>
        <v>7820342329.1331081</v>
      </c>
    </row>
    <row r="26" spans="1:18" ht="15" customHeight="1" x14ac:dyDescent="0.25">
      <c r="A26" s="16" t="s">
        <v>53</v>
      </c>
      <c r="B26" s="16" t="s">
        <v>74</v>
      </c>
      <c r="C26" s="16" t="s">
        <v>55</v>
      </c>
      <c r="D26" s="16">
        <v>4672.04</v>
      </c>
      <c r="E26" s="16">
        <v>592.91999999999996</v>
      </c>
      <c r="F26" s="16">
        <v>6040135</v>
      </c>
      <c r="G26" s="16">
        <v>40.707813039080598</v>
      </c>
      <c r="H26" s="16">
        <v>5983200</v>
      </c>
      <c r="I26" s="16">
        <v>5.8071999999999999</v>
      </c>
      <c r="J26" s="16">
        <v>7.1999999999999995E-2</v>
      </c>
      <c r="K26" s="16">
        <v>3</v>
      </c>
      <c r="L26" s="17">
        <f t="shared" si="0"/>
        <v>770.79599999999994</v>
      </c>
      <c r="M26" s="18">
        <f t="shared" si="1"/>
        <v>31956.753599999996</v>
      </c>
      <c r="N26" s="18">
        <f t="shared" si="2"/>
        <v>18005.948719199998</v>
      </c>
      <c r="O26" s="18">
        <f t="shared" si="3"/>
        <v>49962.702319199991</v>
      </c>
      <c r="P26" s="18">
        <f t="shared" si="4"/>
        <v>245880686.31080708</v>
      </c>
      <c r="Q26" s="18">
        <f t="shared" si="5"/>
        <v>245930649.01312628</v>
      </c>
      <c r="R26" s="18">
        <f t="shared" si="6"/>
        <v>12296532450.656315</v>
      </c>
    </row>
    <row r="27" spans="1:18" ht="15" customHeight="1" x14ac:dyDescent="0.25">
      <c r="A27" s="16" t="s">
        <v>50</v>
      </c>
      <c r="B27" s="16" t="s">
        <v>75</v>
      </c>
      <c r="C27" s="16" t="s">
        <v>52</v>
      </c>
      <c r="D27" s="16">
        <v>297.55</v>
      </c>
      <c r="E27" s="16">
        <v>688</v>
      </c>
      <c r="F27" s="16">
        <v>2353160</v>
      </c>
      <c r="G27" s="16">
        <v>35.285274055417403</v>
      </c>
      <c r="H27" s="16">
        <v>2862000</v>
      </c>
      <c r="I27" s="16">
        <v>5.3872</v>
      </c>
      <c r="J27" s="16">
        <v>5.7200000000000001E-2</v>
      </c>
      <c r="K27" s="16">
        <v>2</v>
      </c>
      <c r="L27" s="17">
        <f t="shared" si="0"/>
        <v>894.4</v>
      </c>
      <c r="M27" s="18">
        <f t="shared" si="1"/>
        <v>1616.8867</v>
      </c>
      <c r="N27" s="18">
        <f t="shared" si="2"/>
        <v>1330.6436000000001</v>
      </c>
      <c r="O27" s="18">
        <f t="shared" si="3"/>
        <v>2947.5303000000004</v>
      </c>
      <c r="P27" s="18">
        <f t="shared" si="4"/>
        <v>83031895.49624601</v>
      </c>
      <c r="Q27" s="18">
        <f t="shared" si="5"/>
        <v>83034843.026546016</v>
      </c>
      <c r="R27" s="18">
        <f t="shared" si="6"/>
        <v>4151742151.327301</v>
      </c>
    </row>
    <row r="28" spans="1:18" ht="15" customHeight="1" x14ac:dyDescent="0.25">
      <c r="A28" s="16" t="s">
        <v>53</v>
      </c>
      <c r="B28" s="16" t="s">
        <v>76</v>
      </c>
      <c r="C28" s="16" t="s">
        <v>55</v>
      </c>
      <c r="D28" s="16">
        <v>3937.76</v>
      </c>
      <c r="E28" s="16">
        <v>1090.69</v>
      </c>
      <c r="F28" s="16">
        <v>2555195</v>
      </c>
      <c r="G28" s="16">
        <v>40.707813039080598</v>
      </c>
      <c r="H28" s="16">
        <v>5983200</v>
      </c>
      <c r="I28" s="16">
        <v>5.8071999999999999</v>
      </c>
      <c r="J28" s="16">
        <v>7.1999999999999995E-2</v>
      </c>
      <c r="K28" s="16">
        <v>3</v>
      </c>
      <c r="L28" s="17">
        <f t="shared" si="0"/>
        <v>1417.8970000000002</v>
      </c>
      <c r="M28" s="18">
        <f t="shared" si="1"/>
        <v>26934.278399999999</v>
      </c>
      <c r="N28" s="18">
        <f t="shared" si="2"/>
        <v>27916.690453600004</v>
      </c>
      <c r="O28" s="18">
        <f t="shared" si="3"/>
        <v>54850.968853600003</v>
      </c>
      <c r="P28" s="18">
        <f t="shared" si="4"/>
        <v>104016400.33839355</v>
      </c>
      <c r="Q28" s="18">
        <f t="shared" si="5"/>
        <v>104071251.30724715</v>
      </c>
      <c r="R28" s="18">
        <f t="shared" si="6"/>
        <v>5203562565.3623571</v>
      </c>
    </row>
    <row r="29" spans="1:18" ht="15" customHeight="1" x14ac:dyDescent="0.25">
      <c r="A29" s="16" t="s">
        <v>50</v>
      </c>
      <c r="B29" s="16" t="s">
        <v>77</v>
      </c>
      <c r="C29" s="16" t="s">
        <v>52</v>
      </c>
      <c r="D29" s="16">
        <v>1341.19</v>
      </c>
      <c r="E29" s="16">
        <v>620.15</v>
      </c>
      <c r="F29" s="16">
        <v>4658390</v>
      </c>
      <c r="G29" s="16">
        <v>35.285274055417403</v>
      </c>
      <c r="H29" s="16">
        <v>2862000</v>
      </c>
      <c r="I29" s="16">
        <v>17.515599999999999</v>
      </c>
      <c r="J29" s="16">
        <v>4.8399999999999999E-2</v>
      </c>
      <c r="K29" s="16">
        <v>14</v>
      </c>
      <c r="L29" s="17">
        <f t="shared" si="0"/>
        <v>806.19500000000005</v>
      </c>
      <c r="M29" s="18">
        <f t="shared" si="1"/>
        <v>6166.79162</v>
      </c>
      <c r="N29" s="18">
        <f t="shared" si="2"/>
        <v>5406.3033602500009</v>
      </c>
      <c r="O29" s="18">
        <f t="shared" si="3"/>
        <v>11573.09498025</v>
      </c>
      <c r="P29" s="18">
        <f t="shared" si="4"/>
        <v>164372567.80701587</v>
      </c>
      <c r="Q29" s="18">
        <f t="shared" si="5"/>
        <v>164384140.90199611</v>
      </c>
      <c r="R29" s="18">
        <f t="shared" si="6"/>
        <v>8219207045.0998049</v>
      </c>
    </row>
    <row r="30" spans="1:18" ht="15" customHeight="1" x14ac:dyDescent="0.25">
      <c r="A30" s="16" t="s">
        <v>50</v>
      </c>
      <c r="B30" s="16" t="s">
        <v>78</v>
      </c>
      <c r="C30" s="16" t="s">
        <v>52</v>
      </c>
      <c r="D30" s="16">
        <v>49866.65</v>
      </c>
      <c r="E30" s="16">
        <v>579.23</v>
      </c>
      <c r="F30" s="16">
        <v>42691575</v>
      </c>
      <c r="G30" s="16">
        <v>35.285274055417403</v>
      </c>
      <c r="H30" s="16">
        <v>2862000</v>
      </c>
      <c r="I30" s="16">
        <v>17.515599999999999</v>
      </c>
      <c r="J30" s="16">
        <v>4.8399999999999999E-2</v>
      </c>
      <c r="K30" s="16">
        <v>14</v>
      </c>
      <c r="L30" s="17">
        <f t="shared" si="0"/>
        <v>752.99900000000002</v>
      </c>
      <c r="M30" s="18">
        <f t="shared" si="1"/>
        <v>229286.8567</v>
      </c>
      <c r="N30" s="18">
        <f t="shared" si="2"/>
        <v>187747.68791675003</v>
      </c>
      <c r="O30" s="18">
        <f t="shared" si="3"/>
        <v>417034.54461675003</v>
      </c>
      <c r="P30" s="18">
        <f t="shared" si="4"/>
        <v>1506383923.7324061</v>
      </c>
      <c r="Q30" s="18">
        <f t="shared" si="5"/>
        <v>1506800958.2770228</v>
      </c>
      <c r="R30" s="18">
        <f t="shared" si="6"/>
        <v>75340047913.851135</v>
      </c>
    </row>
    <row r="32" spans="1:18" ht="15" customHeight="1" x14ac:dyDescent="0.25">
      <c r="A32" s="7" t="s">
        <v>79</v>
      </c>
      <c r="R32" s="19">
        <f>SUM(R13:R30)</f>
        <v>292005231364.58997</v>
      </c>
    </row>
    <row r="33" spans="1:18" ht="15" customHeight="1" x14ac:dyDescent="0.25">
      <c r="A33" s="7" t="s">
        <v>80</v>
      </c>
      <c r="R33" s="19">
        <f>SUMPRODUCT((MATCH(A13:A30,A13:A30,0)=ROW(A13:A30)-ROW(A13)+1)*H13:H30)</f>
        <v>44985600</v>
      </c>
    </row>
    <row r="35" spans="1:18" ht="15" customHeight="1" x14ac:dyDescent="0.25">
      <c r="A35" s="20" t="s">
        <v>81</v>
      </c>
      <c r="R35" s="21">
        <f>R32+R33</f>
        <v>292050216964.58997</v>
      </c>
    </row>
    <row r="36" spans="1:18" ht="15" customHeight="1" x14ac:dyDescent="0.25">
      <c r="A36" s="7" t="s">
        <v>82</v>
      </c>
      <c r="R36" s="22">
        <f>(G5-R35)/G5</f>
        <v>6.8211711315931137E-2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showGridLines="0" zoomScaleNormal="100" workbookViewId="0"/>
  </sheetViews>
  <sheetFormatPr defaultColWidth="8.7109375" defaultRowHeight="15" x14ac:dyDescent="0.25"/>
  <cols>
    <col min="1" max="1" width="35.28515625" style="4" customWidth="1"/>
    <col min="2" max="2" width="20" style="4" customWidth="1"/>
    <col min="3" max="6" width="4" style="4" customWidth="1"/>
  </cols>
  <sheetData>
    <row r="1" spans="1:2" ht="17.25" customHeight="1" x14ac:dyDescent="0.25">
      <c r="A1" s="5" t="s">
        <v>83</v>
      </c>
    </row>
    <row r="2" spans="1:2" ht="15" customHeight="1" x14ac:dyDescent="0.25">
      <c r="A2" s="23" t="s">
        <v>84</v>
      </c>
    </row>
    <row r="4" spans="1:2" ht="15" customHeight="1" x14ac:dyDescent="0.25">
      <c r="A4" s="7" t="s">
        <v>85</v>
      </c>
    </row>
    <row r="5" spans="1:2" ht="15.75" customHeight="1" x14ac:dyDescent="0.25">
      <c r="A5" s="4" t="s">
        <v>86</v>
      </c>
      <c r="B5" s="11" t="s">
        <v>64</v>
      </c>
    </row>
    <row r="6" spans="1:2" ht="15.75" customHeight="1" x14ac:dyDescent="0.25">
      <c r="A6" s="4" t="s">
        <v>87</v>
      </c>
      <c r="B6" s="11" t="s">
        <v>65</v>
      </c>
    </row>
    <row r="7" spans="1:2" ht="15.75" customHeight="1" x14ac:dyDescent="0.25">
      <c r="A7" s="4" t="s">
        <v>88</v>
      </c>
      <c r="B7" s="11">
        <v>8622.4500000000007</v>
      </c>
    </row>
    <row r="8" spans="1:2" ht="15.75" customHeight="1" x14ac:dyDescent="0.25">
      <c r="A8" s="4" t="s">
        <v>89</v>
      </c>
      <c r="B8" s="11" t="s">
        <v>90</v>
      </c>
    </row>
    <row r="9" spans="1:2" ht="15.75" customHeight="1" x14ac:dyDescent="0.25">
      <c r="A9" s="4" t="s">
        <v>24</v>
      </c>
      <c r="B9" s="11">
        <v>95</v>
      </c>
    </row>
    <row r="10" spans="1:2" ht="15.75" customHeight="1" x14ac:dyDescent="0.25">
      <c r="A10" s="4" t="s">
        <v>26</v>
      </c>
      <c r="B10" s="11">
        <v>5.0000000000000001E-3</v>
      </c>
    </row>
    <row r="11" spans="1:2" ht="15.75" customHeight="1" x14ac:dyDescent="0.25">
      <c r="A11" s="4" t="s">
        <v>28</v>
      </c>
      <c r="B11" s="11">
        <v>1.3</v>
      </c>
    </row>
    <row r="12" spans="1:2" ht="15.75" customHeight="1" x14ac:dyDescent="0.25"/>
    <row r="13" spans="1:2" ht="15.75" customHeight="1" x14ac:dyDescent="0.25">
      <c r="A13" s="7" t="s">
        <v>91</v>
      </c>
    </row>
    <row r="14" spans="1:2" ht="15.75" customHeight="1" x14ac:dyDescent="0.25">
      <c r="A14" s="4" t="s">
        <v>92</v>
      </c>
      <c r="B14" s="16" t="str">
        <f>INDEX('Data - Plants'!$B$2:$B$17,MATCH(B5,'Data - Plants'!$A$2:$A$17,0))</f>
        <v>PORT04</v>
      </c>
    </row>
    <row r="15" spans="1:2" ht="15.75" customHeight="1" x14ac:dyDescent="0.25">
      <c r="A15" s="4" t="s">
        <v>93</v>
      </c>
      <c r="B15" s="24">
        <f>IF(MIN('Data - Freight Rates'!$L$2:$L$1541)&gt;=999999999,"No valid option",MIN('Data - Freight Rates'!$L$2:$L$1541))</f>
        <v>34731.228600000002</v>
      </c>
    </row>
    <row r="16" spans="1:2" ht="15.75" customHeight="1" x14ac:dyDescent="0.25">
      <c r="A16" s="4" t="s">
        <v>94</v>
      </c>
      <c r="B16" s="16">
        <f>IFERROR(INDEX('Data - Freight Rates'!$J$2:$J$1541,MATCH(MIN('Data - Freight Rates'!$L$2:$L$1541),'Data - Freight Rates'!$L$2:$L$1541,0)),"n/a")</f>
        <v>3</v>
      </c>
    </row>
    <row r="17" spans="1:2" ht="15.75" customHeight="1" x14ac:dyDescent="0.25">
      <c r="A17" s="4" t="s">
        <v>36</v>
      </c>
      <c r="B17" s="16">
        <f>IFERROR(INDEX('Data - Lane Distances'!$D$2:$D$289,MATCH(B5&amp;"|"&amp;B6,'Data - Lane Distances'!$E$2:$E$289,0)),"n/a")</f>
        <v>1317.77</v>
      </c>
    </row>
    <row r="18" spans="1:2" ht="15.75" customHeight="1" x14ac:dyDescent="0.25">
      <c r="A18" s="4" t="s">
        <v>95</v>
      </c>
      <c r="B18" s="17">
        <f>B17*B11</f>
        <v>1713.1010000000001</v>
      </c>
    </row>
    <row r="19" spans="1:2" ht="15.75" customHeight="1" x14ac:dyDescent="0.25">
      <c r="A19" s="4" t="s">
        <v>96</v>
      </c>
      <c r="B19" s="24">
        <f>B18*B7*B10</f>
        <v>73855.63858725001</v>
      </c>
    </row>
    <row r="21" spans="1:2" ht="15" customHeight="1" x14ac:dyDescent="0.25">
      <c r="A21" s="20" t="s">
        <v>97</v>
      </c>
      <c r="B21" s="25">
        <f>IF(ISNUMBER(B15),B15+B19,"No valid option for this weight/plant/2-day combination")</f>
        <v>108586.86718725001</v>
      </c>
    </row>
  </sheetData>
  <dataValidations count="1">
    <dataValidation type="list" sqref="B8" xr:uid="{00000000-0002-0000-02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'Data - Plants'!$A$2:$A$17</xm:f>
          </x14:formula1>
          <x14:formula2>
            <xm:f>0</xm:f>
          </x14:formula2>
          <xm:sqref>B5</xm:sqref>
        </x14:dataValidation>
        <x14:dataValidation type="list" xr:uid="{00000000-0002-0000-0200-000001000000}">
          <x14:formula1>
            <xm:f>'Data - Zones'!$A$2:$A$19</xm:f>
          </x14:formula1>
          <x14:formula2>
            <xm:f>0</xm:f>
          </x14:formula2>
          <xm:sqref>B6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showGridLines="0" zoomScaleNormal="100" workbookViewId="0">
      <selection activeCell="A2" sqref="A2:G2"/>
    </sheetView>
  </sheetViews>
  <sheetFormatPr defaultColWidth="8.7109375" defaultRowHeight="15" x14ac:dyDescent="0.25"/>
  <cols>
    <col min="1" max="1" width="23.7109375" style="4" customWidth="1"/>
    <col min="2" max="2" width="18.140625" style="4" customWidth="1"/>
    <col min="3" max="5" width="16" style="4" customWidth="1"/>
    <col min="6" max="7" width="14" style="4" customWidth="1"/>
  </cols>
  <sheetData>
    <row r="1" spans="1:7" ht="17.25" customHeight="1" x14ac:dyDescent="0.25">
      <c r="A1" s="2" t="s">
        <v>98</v>
      </c>
      <c r="B1" s="2"/>
      <c r="C1" s="2"/>
      <c r="D1" s="2"/>
      <c r="E1" s="2"/>
      <c r="F1" s="2"/>
      <c r="G1" s="2"/>
    </row>
    <row r="2" spans="1:7" ht="27.75" customHeight="1" x14ac:dyDescent="0.25">
      <c r="A2" s="1" t="s">
        <v>99</v>
      </c>
      <c r="B2" s="1"/>
      <c r="C2" s="1"/>
      <c r="D2" s="1"/>
      <c r="E2" s="1"/>
      <c r="F2" s="1"/>
      <c r="G2" s="1"/>
    </row>
    <row r="4" spans="1:7" ht="15" customHeight="1" x14ac:dyDescent="0.25">
      <c r="A4" s="7" t="s">
        <v>100</v>
      </c>
      <c r="F4" s="7" t="s">
        <v>101</v>
      </c>
    </row>
    <row r="5" spans="1:7" ht="34.5" customHeight="1" x14ac:dyDescent="0.25">
      <c r="A5" s="26" t="s">
        <v>86</v>
      </c>
      <c r="B5" s="26" t="s">
        <v>102</v>
      </c>
      <c r="C5" s="26" t="s">
        <v>103</v>
      </c>
      <c r="D5" s="26" t="s">
        <v>104</v>
      </c>
      <c r="F5" s="27" t="s">
        <v>33</v>
      </c>
      <c r="G5" s="27" t="s">
        <v>105</v>
      </c>
    </row>
    <row r="6" spans="1:7" ht="15" customHeight="1" x14ac:dyDescent="0.25">
      <c r="A6" s="28" t="s">
        <v>50</v>
      </c>
      <c r="B6" s="29">
        <v>57240</v>
      </c>
      <c r="C6" s="28">
        <v>1325</v>
      </c>
      <c r="D6" s="11">
        <v>0</v>
      </c>
      <c r="F6" s="28" t="s">
        <v>58</v>
      </c>
      <c r="G6" s="28">
        <v>1760</v>
      </c>
    </row>
    <row r="7" spans="1:7" ht="15" customHeight="1" x14ac:dyDescent="0.25">
      <c r="A7" s="28" t="s">
        <v>106</v>
      </c>
      <c r="B7" s="29">
        <v>98712</v>
      </c>
      <c r="C7" s="28">
        <v>2285</v>
      </c>
      <c r="D7" s="11">
        <v>0</v>
      </c>
      <c r="F7" s="28" t="s">
        <v>71</v>
      </c>
      <c r="G7" s="28">
        <v>220</v>
      </c>
    </row>
    <row r="8" spans="1:7" ht="15" customHeight="1" x14ac:dyDescent="0.25">
      <c r="A8" s="28" t="s">
        <v>107</v>
      </c>
      <c r="B8" s="29">
        <v>2376</v>
      </c>
      <c r="C8" s="28">
        <v>55</v>
      </c>
      <c r="D8" s="11">
        <v>0</v>
      </c>
      <c r="F8" s="28" t="s">
        <v>73</v>
      </c>
      <c r="G8" s="28">
        <v>521</v>
      </c>
    </row>
    <row r="9" spans="1:7" ht="15" customHeight="1" x14ac:dyDescent="0.25">
      <c r="F9" s="28" t="s">
        <v>75</v>
      </c>
      <c r="G9" s="28">
        <v>30</v>
      </c>
    </row>
    <row r="10" spans="1:7" ht="15" customHeight="1" x14ac:dyDescent="0.25">
      <c r="A10" s="7" t="s">
        <v>108</v>
      </c>
    </row>
    <row r="11" spans="1:7" ht="15" customHeight="1" x14ac:dyDescent="0.25">
      <c r="A11" s="27" t="s">
        <v>109</v>
      </c>
      <c r="B11" s="27" t="s">
        <v>58</v>
      </c>
      <c r="C11" s="27" t="s">
        <v>71</v>
      </c>
      <c r="D11" s="27" t="s">
        <v>73</v>
      </c>
      <c r="E11" s="27" t="s">
        <v>75</v>
      </c>
    </row>
    <row r="12" spans="1:7" ht="15" customHeight="1" x14ac:dyDescent="0.25">
      <c r="A12" s="30" t="s">
        <v>50</v>
      </c>
      <c r="B12" s="29">
        <v>372205293.57999998</v>
      </c>
      <c r="C12" s="29">
        <v>50412411.020000003</v>
      </c>
      <c r="D12" s="29">
        <v>123718476.02</v>
      </c>
      <c r="E12" s="29">
        <v>83034843</v>
      </c>
    </row>
    <row r="13" spans="1:7" ht="15" customHeight="1" x14ac:dyDescent="0.25">
      <c r="A13" s="30" t="s">
        <v>106</v>
      </c>
      <c r="B13" s="29">
        <v>1922607959.4200001</v>
      </c>
      <c r="C13" s="29">
        <v>260519784.19</v>
      </c>
      <c r="D13" s="29">
        <v>639175332.40999997</v>
      </c>
      <c r="E13" s="29">
        <v>429177121.86000001</v>
      </c>
    </row>
    <row r="14" spans="1:7" ht="15" customHeight="1" x14ac:dyDescent="0.25">
      <c r="A14" s="30" t="s">
        <v>107</v>
      </c>
      <c r="B14" s="29">
        <v>465909151.55000001</v>
      </c>
      <c r="C14" s="29">
        <v>63115770.119999997</v>
      </c>
      <c r="D14" s="29">
        <v>154902253.16999999</v>
      </c>
      <c r="E14" s="29">
        <v>103968921.43000001</v>
      </c>
    </row>
    <row r="15" spans="1:7" ht="15" customHeight="1" x14ac:dyDescent="0.25">
      <c r="A15" s="7" t="s">
        <v>110</v>
      </c>
    </row>
    <row r="16" spans="1:7" ht="15" customHeight="1" x14ac:dyDescent="0.25">
      <c r="A16" s="27" t="s">
        <v>109</v>
      </c>
      <c r="B16" s="27" t="s">
        <v>58</v>
      </c>
      <c r="C16" s="27" t="s">
        <v>71</v>
      </c>
      <c r="D16" s="27" t="s">
        <v>73</v>
      </c>
      <c r="E16" s="27" t="s">
        <v>75</v>
      </c>
    </row>
    <row r="17" spans="1:7" ht="15" customHeight="1" x14ac:dyDescent="0.25">
      <c r="A17" s="28" t="s">
        <v>50</v>
      </c>
      <c r="B17" s="11">
        <v>0</v>
      </c>
      <c r="C17" s="11">
        <v>0</v>
      </c>
      <c r="D17" s="11">
        <v>0</v>
      </c>
      <c r="E17" s="11">
        <v>0</v>
      </c>
    </row>
    <row r="18" spans="1:7" ht="15" customHeight="1" x14ac:dyDescent="0.25">
      <c r="A18" s="28" t="s">
        <v>106</v>
      </c>
      <c r="B18" s="11">
        <v>0</v>
      </c>
      <c r="C18" s="11">
        <v>0</v>
      </c>
      <c r="D18" s="11">
        <v>0</v>
      </c>
      <c r="E18" s="11">
        <v>0</v>
      </c>
    </row>
    <row r="19" spans="1:7" ht="15" customHeight="1" x14ac:dyDescent="0.25">
      <c r="A19" s="28" t="s">
        <v>107</v>
      </c>
      <c r="B19" s="11">
        <v>0</v>
      </c>
      <c r="C19" s="11">
        <v>0</v>
      </c>
      <c r="D19" s="11">
        <v>0</v>
      </c>
      <c r="E19" s="11">
        <v>0</v>
      </c>
    </row>
    <row r="20" spans="1:7" ht="15" customHeight="1" x14ac:dyDescent="0.25">
      <c r="A20" s="31" t="s">
        <v>111</v>
      </c>
      <c r="B20" s="16">
        <f>G6</f>
        <v>1760</v>
      </c>
      <c r="C20" s="16">
        <f>G7</f>
        <v>220</v>
      </c>
      <c r="D20" s="16">
        <f>G8</f>
        <v>521</v>
      </c>
      <c r="E20" s="16">
        <f>G9</f>
        <v>30</v>
      </c>
    </row>
    <row r="21" spans="1:7" ht="15" customHeight="1" x14ac:dyDescent="0.25">
      <c r="A21" s="27" t="s">
        <v>32</v>
      </c>
      <c r="B21" s="27" t="s">
        <v>112</v>
      </c>
      <c r="C21" s="27" t="s">
        <v>113</v>
      </c>
      <c r="D21" s="27" t="s">
        <v>114</v>
      </c>
    </row>
    <row r="22" spans="1:7" ht="15" customHeight="1" x14ac:dyDescent="0.25">
      <c r="A22" s="28" t="s">
        <v>50</v>
      </c>
      <c r="B22" s="16">
        <f>SUMPRODUCT(B17:E17,$B$20:$E$20)</f>
        <v>0</v>
      </c>
      <c r="C22" s="16">
        <f>C6</f>
        <v>1325</v>
      </c>
      <c r="D22" s="16" t="str">
        <f>IF(B22&lt;=C22,"OK","OVER")</f>
        <v>OK</v>
      </c>
    </row>
    <row r="23" spans="1:7" ht="15" customHeight="1" x14ac:dyDescent="0.25">
      <c r="A23" s="28" t="s">
        <v>106</v>
      </c>
      <c r="B23" s="16">
        <f>SUMPRODUCT(B18:E18,$B$20:$E$20)</f>
        <v>0</v>
      </c>
      <c r="C23" s="16">
        <f>C7</f>
        <v>2285</v>
      </c>
      <c r="D23" s="16" t="str">
        <f>IF(B23&lt;=C23,"OK","OVER")</f>
        <v>OK</v>
      </c>
    </row>
    <row r="24" spans="1:7" ht="15" customHeight="1" x14ac:dyDescent="0.25">
      <c r="A24" s="28" t="s">
        <v>107</v>
      </c>
      <c r="B24" s="16">
        <f>SUMPRODUCT(B19:E19,$B$20:$E$20)</f>
        <v>0</v>
      </c>
      <c r="C24" s="16">
        <f>C8</f>
        <v>55</v>
      </c>
      <c r="D24" s="16" t="str">
        <f>IF(B24&lt;=C24,"OK","OVER")</f>
        <v>OK</v>
      </c>
    </row>
    <row r="25" spans="1:7" ht="15" customHeight="1" x14ac:dyDescent="0.25">
      <c r="A25" s="7" t="s">
        <v>115</v>
      </c>
    </row>
    <row r="26" spans="1:7" ht="15" customHeight="1" x14ac:dyDescent="0.25">
      <c r="B26" s="27" t="s">
        <v>58</v>
      </c>
      <c r="C26" s="27" t="s">
        <v>71</v>
      </c>
      <c r="D26" s="27" t="s">
        <v>73</v>
      </c>
      <c r="E26" s="27" t="s">
        <v>75</v>
      </c>
    </row>
    <row r="27" spans="1:7" ht="15" customHeight="1" x14ac:dyDescent="0.25">
      <c r="A27" s="4" t="s">
        <v>116</v>
      </c>
      <c r="B27" s="16">
        <f>SUM(B17:B19)</f>
        <v>0</v>
      </c>
      <c r="C27" s="16">
        <f>SUM(C17:C19)</f>
        <v>0</v>
      </c>
      <c r="D27" s="16">
        <f>SUM(D17:D19)</f>
        <v>0</v>
      </c>
      <c r="E27" s="16">
        <f>SUM(E17:E19)</f>
        <v>0</v>
      </c>
    </row>
    <row r="29" spans="1:7" ht="15" customHeight="1" x14ac:dyDescent="0.25">
      <c r="A29" s="20" t="s">
        <v>117</v>
      </c>
      <c r="B29" s="21">
        <f>SUMPRODUCT($B$6:$B$8,$D$6:$D$8)+SUMPRODUCT(B12:E14,B17:E19)</f>
        <v>0</v>
      </c>
    </row>
    <row r="31" spans="1:7" ht="15" customHeight="1" x14ac:dyDescent="0.25">
      <c r="A31" s="7" t="s">
        <v>118</v>
      </c>
    </row>
    <row r="32" spans="1:7" ht="15" customHeight="1" x14ac:dyDescent="0.25">
      <c r="A32" s="3" t="s">
        <v>119</v>
      </c>
      <c r="B32" s="3"/>
      <c r="C32" s="3"/>
      <c r="D32" s="3"/>
      <c r="E32" s="3"/>
      <c r="F32" s="3"/>
      <c r="G32" s="3"/>
    </row>
    <row r="33" spans="1:7" ht="15" customHeight="1" x14ac:dyDescent="0.25">
      <c r="A33" s="3" t="s">
        <v>120</v>
      </c>
      <c r="B33" s="3"/>
      <c r="C33" s="3"/>
      <c r="D33" s="3"/>
      <c r="E33" s="3"/>
      <c r="F33" s="3"/>
      <c r="G33" s="3"/>
    </row>
    <row r="34" spans="1:7" ht="15" customHeight="1" x14ac:dyDescent="0.25">
      <c r="A34" s="3" t="s">
        <v>121</v>
      </c>
      <c r="B34" s="3"/>
      <c r="C34" s="3"/>
      <c r="D34" s="3"/>
      <c r="E34" s="3"/>
      <c r="F34" s="3"/>
      <c r="G34" s="3"/>
    </row>
    <row r="35" spans="1:7" ht="15" customHeight="1" x14ac:dyDescent="0.25">
      <c r="A35" s="3" t="s">
        <v>122</v>
      </c>
      <c r="B35" s="3"/>
      <c r="C35" s="3"/>
      <c r="D35" s="3"/>
      <c r="E35" s="3"/>
      <c r="F35" s="3"/>
      <c r="G35" s="3"/>
    </row>
    <row r="36" spans="1:7" ht="15" customHeight="1" x14ac:dyDescent="0.25">
      <c r="A36" s="3" t="s">
        <v>123</v>
      </c>
      <c r="B36" s="3"/>
      <c r="C36" s="3"/>
      <c r="D36" s="3"/>
      <c r="E36" s="3"/>
      <c r="F36" s="3"/>
      <c r="G36" s="3"/>
    </row>
    <row r="37" spans="1:7" ht="15" customHeight="1" x14ac:dyDescent="0.25">
      <c r="A37" s="3" t="s">
        <v>124</v>
      </c>
      <c r="B37" s="3"/>
      <c r="C37" s="3"/>
      <c r="D37" s="3"/>
      <c r="E37" s="3"/>
      <c r="F37" s="3"/>
      <c r="G37" s="3"/>
    </row>
    <row r="38" spans="1:7" ht="15" customHeight="1" x14ac:dyDescent="0.25">
      <c r="A38" s="3" t="s">
        <v>125</v>
      </c>
      <c r="B38" s="3"/>
      <c r="C38" s="3"/>
      <c r="D38" s="3"/>
      <c r="E38" s="3"/>
      <c r="F38" s="3"/>
      <c r="G38" s="3"/>
    </row>
    <row r="39" spans="1:7" ht="15" customHeight="1" x14ac:dyDescent="0.25">
      <c r="A39" s="3" t="s">
        <v>126</v>
      </c>
      <c r="B39" s="3"/>
      <c r="C39" s="3"/>
      <c r="D39" s="3"/>
      <c r="E39" s="3"/>
      <c r="F39" s="3"/>
      <c r="G39" s="3"/>
    </row>
  </sheetData>
  <mergeCells count="10">
    <mergeCell ref="A35:G35"/>
    <mergeCell ref="A36:G36"/>
    <mergeCell ref="A37:G37"/>
    <mergeCell ref="A38:G38"/>
    <mergeCell ref="A39:G39"/>
    <mergeCell ref="A1:G1"/>
    <mergeCell ref="A2:G2"/>
    <mergeCell ref="A32:G32"/>
    <mergeCell ref="A33:G33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zoomScaleNormal="100" workbookViewId="0"/>
  </sheetViews>
  <sheetFormatPr defaultColWidth="8.7109375" defaultRowHeight="15" x14ac:dyDescent="0.25"/>
  <cols>
    <col min="1" max="1" width="100" style="4" customWidth="1"/>
  </cols>
  <sheetData>
    <row r="1" spans="1:1" ht="15" customHeight="1" x14ac:dyDescent="0.25">
      <c r="A1" s="20" t="s">
        <v>127</v>
      </c>
    </row>
    <row r="3" spans="1:1" ht="15" customHeight="1" x14ac:dyDescent="0.25">
      <c r="A3" s="6" t="s">
        <v>128</v>
      </c>
    </row>
    <row r="4" spans="1:1" ht="15" customHeight="1" x14ac:dyDescent="0.25">
      <c r="A4" s="6" t="s">
        <v>129</v>
      </c>
    </row>
    <row r="5" spans="1:1" ht="15" customHeight="1" x14ac:dyDescent="0.25">
      <c r="A5" s="6" t="s">
        <v>130</v>
      </c>
    </row>
    <row r="7" spans="1:1" ht="15" customHeight="1" x14ac:dyDescent="0.25">
      <c r="A7" s="6" t="s">
        <v>131</v>
      </c>
    </row>
    <row r="9" spans="1:1" ht="15" customHeight="1" x14ac:dyDescent="0.25">
      <c r="A9" s="6" t="s">
        <v>132</v>
      </c>
    </row>
    <row r="10" spans="1:1" ht="15" customHeight="1" x14ac:dyDescent="0.25">
      <c r="A10" s="6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showGridLines="0" zoomScaleNormal="100" workbookViewId="0">
      <pane ySplit="1" topLeftCell="A2" activePane="bottomLeft" state="frozen"/>
      <selection pane="bottomLeft" activeCell="K16" sqref="K16"/>
    </sheetView>
  </sheetViews>
  <sheetFormatPr defaultColWidth="8.7109375" defaultRowHeight="15" x14ac:dyDescent="0.25"/>
  <cols>
    <col min="1" max="1" width="12" style="4" customWidth="1"/>
    <col min="2" max="2" width="10" style="4" customWidth="1"/>
    <col min="3" max="3" width="9" style="4" customWidth="1"/>
    <col min="4" max="4" width="12" style="4" customWidth="1"/>
    <col min="5" max="5" width="10" style="4" customWidth="1"/>
    <col min="6" max="6" width="13" style="4" customWidth="1"/>
    <col min="7" max="7" width="17" style="4" customWidth="1"/>
    <col min="8" max="8" width="22.140625" style="4" customWidth="1"/>
  </cols>
  <sheetData>
    <row r="1" spans="1:8" ht="15" customHeight="1" x14ac:dyDescent="0.25">
      <c r="A1" s="27" t="s">
        <v>86</v>
      </c>
      <c r="B1" s="27" t="s">
        <v>34</v>
      </c>
      <c r="C1" s="27" t="s">
        <v>134</v>
      </c>
      <c r="D1" s="27" t="s">
        <v>135</v>
      </c>
      <c r="E1" s="27" t="s">
        <v>136</v>
      </c>
      <c r="F1" s="27" t="s">
        <v>137</v>
      </c>
      <c r="G1" s="27" t="s">
        <v>138</v>
      </c>
      <c r="H1" s="27" t="s">
        <v>139</v>
      </c>
    </row>
    <row r="2" spans="1:8" ht="15" customHeight="1" x14ac:dyDescent="0.25">
      <c r="A2" s="32" t="s">
        <v>140</v>
      </c>
      <c r="B2" s="32" t="s">
        <v>52</v>
      </c>
      <c r="C2" s="32">
        <v>0</v>
      </c>
      <c r="D2" s="32" t="s">
        <v>77</v>
      </c>
      <c r="E2" s="32" t="s">
        <v>141</v>
      </c>
      <c r="F2" s="32">
        <v>1070</v>
      </c>
      <c r="G2" s="32">
        <v>22470000</v>
      </c>
      <c r="H2" s="32">
        <v>53.862737568308397</v>
      </c>
    </row>
    <row r="3" spans="1:8" ht="15" customHeight="1" x14ac:dyDescent="0.25">
      <c r="A3" s="32" t="s">
        <v>68</v>
      </c>
      <c r="B3" s="32" t="s">
        <v>70</v>
      </c>
      <c r="C3" s="32">
        <v>0</v>
      </c>
      <c r="D3" s="32" t="s">
        <v>71</v>
      </c>
      <c r="E3" s="32" t="s">
        <v>142</v>
      </c>
      <c r="F3" s="32">
        <v>138</v>
      </c>
      <c r="G3" s="32">
        <v>1490400</v>
      </c>
      <c r="H3" s="32">
        <v>45.362834298086099</v>
      </c>
    </row>
    <row r="4" spans="1:8" ht="15" customHeight="1" x14ac:dyDescent="0.25">
      <c r="A4" s="32" t="s">
        <v>64</v>
      </c>
      <c r="B4" s="32" t="s">
        <v>59</v>
      </c>
      <c r="C4" s="32">
        <v>1</v>
      </c>
      <c r="D4" s="32" t="s">
        <v>73</v>
      </c>
      <c r="E4" s="32" t="s">
        <v>141</v>
      </c>
      <c r="F4" s="32">
        <v>1013</v>
      </c>
      <c r="G4" s="32">
        <v>21273000</v>
      </c>
      <c r="H4" s="32">
        <v>49.162679704418899</v>
      </c>
    </row>
    <row r="5" spans="1:8" ht="15" customHeight="1" x14ac:dyDescent="0.25">
      <c r="A5" s="32" t="s">
        <v>53</v>
      </c>
      <c r="B5" s="32" t="s">
        <v>55</v>
      </c>
      <c r="C5" s="32">
        <v>1</v>
      </c>
      <c r="D5" s="32" t="s">
        <v>58</v>
      </c>
      <c r="E5" s="32" t="s">
        <v>142</v>
      </c>
      <c r="F5" s="32">
        <v>554</v>
      </c>
      <c r="G5" s="32">
        <v>5983200</v>
      </c>
      <c r="H5" s="32">
        <v>40.707813039080598</v>
      </c>
    </row>
    <row r="6" spans="1:8" ht="15" customHeight="1" x14ac:dyDescent="0.25">
      <c r="A6" s="32" t="s">
        <v>60</v>
      </c>
      <c r="B6" s="32" t="s">
        <v>62</v>
      </c>
      <c r="C6" s="32">
        <v>0</v>
      </c>
      <c r="D6" s="32" t="s">
        <v>65</v>
      </c>
      <c r="E6" s="32" t="s">
        <v>141</v>
      </c>
      <c r="F6" s="32">
        <v>385</v>
      </c>
      <c r="G6" s="32">
        <v>8085000</v>
      </c>
      <c r="H6" s="32">
        <v>46.373716530101397</v>
      </c>
    </row>
    <row r="7" spans="1:8" ht="15" customHeight="1" x14ac:dyDescent="0.25">
      <c r="A7" s="32" t="s">
        <v>143</v>
      </c>
      <c r="B7" s="32" t="s">
        <v>62</v>
      </c>
      <c r="C7" s="32">
        <v>0</v>
      </c>
      <c r="D7" s="32" t="s">
        <v>56</v>
      </c>
      <c r="E7" s="32" t="s">
        <v>142</v>
      </c>
      <c r="F7" s="32">
        <v>49</v>
      </c>
      <c r="G7" s="32">
        <v>529200</v>
      </c>
      <c r="H7" s="32">
        <v>52.6383692744499</v>
      </c>
    </row>
    <row r="8" spans="1:8" ht="15" customHeight="1" x14ac:dyDescent="0.25">
      <c r="A8" s="32" t="s">
        <v>50</v>
      </c>
      <c r="B8" s="32" t="s">
        <v>52</v>
      </c>
      <c r="C8" s="32">
        <v>0</v>
      </c>
      <c r="D8" s="32" t="s">
        <v>76</v>
      </c>
      <c r="E8" s="32" t="s">
        <v>142</v>
      </c>
      <c r="F8" s="32">
        <v>265</v>
      </c>
      <c r="G8" s="32">
        <v>2862000</v>
      </c>
      <c r="H8" s="32">
        <v>35.285274055417403</v>
      </c>
    </row>
    <row r="9" spans="1:8" ht="15" customHeight="1" x14ac:dyDescent="0.25">
      <c r="A9" s="32" t="s">
        <v>144</v>
      </c>
      <c r="B9" s="32" t="s">
        <v>59</v>
      </c>
      <c r="C9" s="32">
        <v>1</v>
      </c>
      <c r="D9" s="32" t="s">
        <v>145</v>
      </c>
      <c r="E9" s="32" t="s">
        <v>142</v>
      </c>
      <c r="F9" s="32">
        <v>14</v>
      </c>
      <c r="G9" s="32">
        <v>151200</v>
      </c>
      <c r="H9" s="32">
        <v>49.671443423641101</v>
      </c>
    </row>
    <row r="10" spans="1:8" ht="15" customHeight="1" x14ac:dyDescent="0.25">
      <c r="A10" s="32" t="s">
        <v>107</v>
      </c>
      <c r="B10" s="32" t="s">
        <v>59</v>
      </c>
      <c r="C10" s="32">
        <v>1</v>
      </c>
      <c r="D10" s="32" t="s">
        <v>69</v>
      </c>
      <c r="E10" s="32" t="s">
        <v>142</v>
      </c>
      <c r="F10" s="32">
        <v>11</v>
      </c>
      <c r="G10" s="32">
        <v>118800</v>
      </c>
      <c r="H10" s="32">
        <v>44.181754251378798</v>
      </c>
    </row>
    <row r="11" spans="1:8" ht="15" customHeight="1" x14ac:dyDescent="0.25">
      <c r="A11" s="32" t="s">
        <v>146</v>
      </c>
      <c r="B11" s="32" t="s">
        <v>52</v>
      </c>
      <c r="C11" s="32">
        <v>0</v>
      </c>
      <c r="D11" s="32" t="s">
        <v>61</v>
      </c>
      <c r="E11" s="32" t="s">
        <v>141</v>
      </c>
      <c r="F11" s="32">
        <v>118</v>
      </c>
      <c r="G11" s="32">
        <v>2478000</v>
      </c>
      <c r="H11" s="32">
        <v>46.890280355879803</v>
      </c>
    </row>
    <row r="12" spans="1:8" ht="15" customHeight="1" x14ac:dyDescent="0.25">
      <c r="A12" s="32" t="s">
        <v>147</v>
      </c>
      <c r="B12" s="32" t="s">
        <v>59</v>
      </c>
      <c r="C12" s="32">
        <v>0</v>
      </c>
      <c r="D12" s="32" t="s">
        <v>74</v>
      </c>
      <c r="E12" s="32" t="s">
        <v>142</v>
      </c>
      <c r="F12" s="32">
        <v>332</v>
      </c>
      <c r="G12" s="32">
        <v>3585600</v>
      </c>
      <c r="H12" s="32">
        <v>52.748492592864402</v>
      </c>
    </row>
    <row r="13" spans="1:8" ht="15" customHeight="1" x14ac:dyDescent="0.25">
      <c r="A13" s="32" t="s">
        <v>148</v>
      </c>
      <c r="B13" s="32" t="s">
        <v>59</v>
      </c>
      <c r="C13" s="32">
        <v>1</v>
      </c>
      <c r="D13" s="32" t="s">
        <v>54</v>
      </c>
      <c r="E13" s="32" t="s">
        <v>141</v>
      </c>
      <c r="F13" s="32">
        <v>209</v>
      </c>
      <c r="G13" s="32">
        <v>4389000</v>
      </c>
      <c r="H13" s="32">
        <v>73.4475204601992</v>
      </c>
    </row>
    <row r="14" spans="1:8" ht="15" customHeight="1" x14ac:dyDescent="0.25">
      <c r="A14" s="32" t="s">
        <v>57</v>
      </c>
      <c r="B14" s="32" t="s">
        <v>59</v>
      </c>
      <c r="C14" s="32">
        <v>1</v>
      </c>
      <c r="D14" s="32" t="s">
        <v>149</v>
      </c>
      <c r="E14" s="32" t="s">
        <v>142</v>
      </c>
      <c r="F14" s="32">
        <v>490</v>
      </c>
      <c r="G14" s="32">
        <v>5292000</v>
      </c>
      <c r="H14" s="32">
        <v>44.622170375243698</v>
      </c>
    </row>
    <row r="15" spans="1:8" ht="15" customHeight="1" x14ac:dyDescent="0.25">
      <c r="A15" s="32" t="s">
        <v>150</v>
      </c>
      <c r="B15" s="32" t="s">
        <v>151</v>
      </c>
      <c r="C15" s="32">
        <v>0</v>
      </c>
      <c r="D15" s="32" t="s">
        <v>63</v>
      </c>
      <c r="E15" s="32" t="s">
        <v>142</v>
      </c>
      <c r="F15" s="32">
        <v>549</v>
      </c>
      <c r="G15" s="32">
        <v>5929200</v>
      </c>
      <c r="H15" s="32">
        <v>60.261325081943397</v>
      </c>
    </row>
    <row r="16" spans="1:8" ht="15" customHeight="1" x14ac:dyDescent="0.25">
      <c r="A16" s="32" t="s">
        <v>152</v>
      </c>
      <c r="B16" s="32" t="s">
        <v>153</v>
      </c>
      <c r="C16" s="32">
        <v>0</v>
      </c>
      <c r="D16" s="32" t="s">
        <v>75</v>
      </c>
      <c r="E16" s="32" t="s">
        <v>141</v>
      </c>
      <c r="F16" s="32">
        <v>11</v>
      </c>
      <c r="G16" s="32">
        <v>231000</v>
      </c>
      <c r="H16" s="32">
        <v>134.431020785328</v>
      </c>
    </row>
    <row r="17" spans="1:8" ht="15" customHeight="1" x14ac:dyDescent="0.25">
      <c r="A17" s="32" t="s">
        <v>106</v>
      </c>
      <c r="B17" s="32" t="s">
        <v>154</v>
      </c>
      <c r="C17" s="32">
        <v>1</v>
      </c>
      <c r="D17" s="32" t="s">
        <v>72</v>
      </c>
      <c r="E17" s="32" t="s">
        <v>142</v>
      </c>
      <c r="F17" s="32">
        <v>457</v>
      </c>
      <c r="G17" s="32">
        <v>4935600</v>
      </c>
      <c r="H17" s="32">
        <v>182.38171324598099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style="4" customWidth="1"/>
    <col min="2" max="2" width="12" style="4" customWidth="1"/>
    <col min="3" max="4" width="15" style="4" customWidth="1"/>
  </cols>
  <sheetData>
    <row r="1" spans="1:4" ht="15" customHeight="1" x14ac:dyDescent="0.25">
      <c r="A1" s="27" t="s">
        <v>135</v>
      </c>
      <c r="B1" s="27" t="s">
        <v>155</v>
      </c>
      <c r="C1" s="27" t="s">
        <v>156</v>
      </c>
      <c r="D1" s="27" t="s">
        <v>157</v>
      </c>
    </row>
    <row r="2" spans="1:4" ht="15" customHeight="1" x14ac:dyDescent="0.25">
      <c r="A2" s="32" t="s">
        <v>51</v>
      </c>
      <c r="B2" s="32">
        <v>380</v>
      </c>
      <c r="C2" s="32">
        <v>2015547</v>
      </c>
      <c r="D2" s="32">
        <v>5343.7984483899199</v>
      </c>
    </row>
    <row r="3" spans="1:4" ht="15" customHeight="1" x14ac:dyDescent="0.25">
      <c r="A3" s="32" t="s">
        <v>54</v>
      </c>
      <c r="B3" s="32">
        <v>368</v>
      </c>
      <c r="C3" s="32">
        <v>823850</v>
      </c>
      <c r="D3" s="32">
        <v>6653.6143841089297</v>
      </c>
    </row>
    <row r="4" spans="1:4" ht="15" customHeight="1" x14ac:dyDescent="0.25">
      <c r="A4" s="32" t="s">
        <v>56</v>
      </c>
      <c r="B4" s="32">
        <v>592</v>
      </c>
      <c r="C4" s="32">
        <v>5521685</v>
      </c>
      <c r="D4" s="32">
        <v>9430.8576330686792</v>
      </c>
    </row>
    <row r="5" spans="1:4" ht="15" customHeight="1" x14ac:dyDescent="0.25">
      <c r="A5" s="32" t="s">
        <v>58</v>
      </c>
      <c r="B5" s="32">
        <v>1760</v>
      </c>
      <c r="C5" s="32">
        <v>2107749</v>
      </c>
      <c r="D5" s="32">
        <v>29329.459590446899</v>
      </c>
    </row>
    <row r="6" spans="1:4" ht="15" customHeight="1" x14ac:dyDescent="0.25">
      <c r="A6" s="32" t="s">
        <v>61</v>
      </c>
      <c r="B6" s="32">
        <v>1115</v>
      </c>
      <c r="C6" s="32">
        <v>1489427</v>
      </c>
      <c r="D6" s="32">
        <v>14341.743357687499</v>
      </c>
    </row>
    <row r="7" spans="1:4" ht="15" customHeight="1" x14ac:dyDescent="0.25">
      <c r="A7" s="32" t="s">
        <v>63</v>
      </c>
      <c r="B7" s="32">
        <v>341</v>
      </c>
      <c r="C7" s="32">
        <v>1909433</v>
      </c>
      <c r="D7" s="32">
        <v>16571.403311052502</v>
      </c>
    </row>
    <row r="8" spans="1:4" ht="15" customHeight="1" x14ac:dyDescent="0.25">
      <c r="A8" s="32" t="s">
        <v>65</v>
      </c>
      <c r="B8" s="32">
        <v>1504</v>
      </c>
      <c r="C8" s="32">
        <v>1090761</v>
      </c>
      <c r="D8" s="32">
        <v>8622.4513590049301</v>
      </c>
    </row>
    <row r="9" spans="1:4" ht="15" customHeight="1" x14ac:dyDescent="0.25">
      <c r="A9" s="32" t="s">
        <v>66</v>
      </c>
      <c r="B9" s="32">
        <v>9</v>
      </c>
      <c r="C9" s="32">
        <v>15125</v>
      </c>
      <c r="D9" s="32">
        <v>446.57233652448298</v>
      </c>
    </row>
    <row r="10" spans="1:4" ht="15" customHeight="1" x14ac:dyDescent="0.25">
      <c r="A10" s="32" t="s">
        <v>67</v>
      </c>
      <c r="B10" s="32">
        <v>38</v>
      </c>
      <c r="C10" s="32">
        <v>69777</v>
      </c>
      <c r="D10" s="32">
        <v>1466.2151817014101</v>
      </c>
    </row>
    <row r="11" spans="1:4" ht="15" customHeight="1" x14ac:dyDescent="0.25">
      <c r="A11" s="32" t="s">
        <v>69</v>
      </c>
      <c r="B11" s="32">
        <v>185</v>
      </c>
      <c r="C11" s="32">
        <v>306271</v>
      </c>
      <c r="D11" s="32">
        <v>2955.3242428547501</v>
      </c>
    </row>
    <row r="12" spans="1:4" ht="15" customHeight="1" x14ac:dyDescent="0.25">
      <c r="A12" s="32" t="s">
        <v>71</v>
      </c>
      <c r="B12" s="32">
        <v>220</v>
      </c>
      <c r="C12" s="32">
        <v>285660</v>
      </c>
      <c r="D12" s="32">
        <v>1554.1188182020101</v>
      </c>
    </row>
    <row r="13" spans="1:4" ht="15" customHeight="1" x14ac:dyDescent="0.25">
      <c r="A13" s="32" t="s">
        <v>72</v>
      </c>
      <c r="B13" s="32">
        <v>775</v>
      </c>
      <c r="C13" s="32">
        <v>1517543</v>
      </c>
      <c r="D13" s="32">
        <v>18988.482376632699</v>
      </c>
    </row>
    <row r="14" spans="1:4" ht="15" customHeight="1" x14ac:dyDescent="0.25">
      <c r="A14" s="32" t="s">
        <v>73</v>
      </c>
      <c r="B14" s="32">
        <v>521</v>
      </c>
      <c r="C14" s="32">
        <v>700796</v>
      </c>
      <c r="D14" s="32">
        <v>7298.3712461721198</v>
      </c>
    </row>
    <row r="15" spans="1:4" ht="15" customHeight="1" x14ac:dyDescent="0.25">
      <c r="A15" s="32" t="s">
        <v>74</v>
      </c>
      <c r="B15" s="32">
        <v>392</v>
      </c>
      <c r="C15" s="32">
        <v>1208027</v>
      </c>
      <c r="D15" s="32">
        <v>4672.0364117134004</v>
      </c>
    </row>
    <row r="16" spans="1:4" ht="15" customHeight="1" x14ac:dyDescent="0.25">
      <c r="A16" s="32" t="s">
        <v>75</v>
      </c>
      <c r="B16" s="32">
        <v>30</v>
      </c>
      <c r="C16" s="32">
        <v>470632</v>
      </c>
      <c r="D16" s="32">
        <v>297.54748607064602</v>
      </c>
    </row>
    <row r="17" spans="1:4" ht="15" customHeight="1" x14ac:dyDescent="0.25">
      <c r="A17" s="32" t="s">
        <v>76</v>
      </c>
      <c r="B17" s="32">
        <v>186</v>
      </c>
      <c r="C17" s="32">
        <v>511039</v>
      </c>
      <c r="D17" s="32">
        <v>3937.76105977931</v>
      </c>
    </row>
    <row r="18" spans="1:4" ht="15" customHeight="1" x14ac:dyDescent="0.25">
      <c r="A18" s="32" t="s">
        <v>77</v>
      </c>
      <c r="B18" s="32">
        <v>29</v>
      </c>
      <c r="C18" s="32">
        <v>931678</v>
      </c>
      <c r="D18" s="32">
        <v>1341.1888179498901</v>
      </c>
    </row>
    <row r="19" spans="1:4" ht="15" customHeight="1" x14ac:dyDescent="0.25">
      <c r="A19" s="32" t="s">
        <v>78</v>
      </c>
      <c r="B19" s="32">
        <v>770</v>
      </c>
      <c r="C19" s="32">
        <v>8538315</v>
      </c>
      <c r="D19" s="32">
        <v>49866.654462875602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style="4" customWidth="1"/>
    <col min="2" max="2" width="14" style="4" customWidth="1"/>
    <col min="3" max="3" width="20" style="4" customWidth="1"/>
    <col min="4" max="4" width="19.28515625" style="4" customWidth="1"/>
    <col min="5" max="5" width="22" customWidth="1"/>
  </cols>
  <sheetData>
    <row r="1" spans="1:5" ht="15" customHeight="1" x14ac:dyDescent="0.25">
      <c r="A1" s="27" t="s">
        <v>86</v>
      </c>
      <c r="B1" s="27" t="s">
        <v>33</v>
      </c>
      <c r="C1" s="27" t="s">
        <v>158</v>
      </c>
      <c r="D1" s="27" t="s">
        <v>36</v>
      </c>
      <c r="E1" s="33" t="s">
        <v>159</v>
      </c>
    </row>
    <row r="2" spans="1:5" ht="15" customHeight="1" x14ac:dyDescent="0.25">
      <c r="A2" s="32" t="s">
        <v>152</v>
      </c>
      <c r="B2" s="32" t="s">
        <v>51</v>
      </c>
      <c r="C2" s="32">
        <v>5343.7984483899199</v>
      </c>
      <c r="D2" s="32">
        <v>440</v>
      </c>
      <c r="E2" s="34" t="str">
        <f t="shared" ref="E2:E65" si="0">A2&amp;"|"&amp;B2</f>
        <v>PLANT15|Ahmedabad</v>
      </c>
    </row>
    <row r="3" spans="1:5" ht="15" customHeight="1" x14ac:dyDescent="0.25">
      <c r="A3" s="32" t="s">
        <v>152</v>
      </c>
      <c r="B3" s="32" t="s">
        <v>54</v>
      </c>
      <c r="C3" s="32">
        <v>6653.6143841089297</v>
      </c>
      <c r="D3" s="32">
        <v>845.31</v>
      </c>
      <c r="E3" s="34" t="str">
        <f t="shared" si="0"/>
        <v>PLANT15|Bengaluru</v>
      </c>
    </row>
    <row r="4" spans="1:5" ht="15" customHeight="1" x14ac:dyDescent="0.25">
      <c r="A4" s="32" t="s">
        <v>152</v>
      </c>
      <c r="B4" s="32" t="s">
        <v>56</v>
      </c>
      <c r="C4" s="32">
        <v>9430.8576330686792</v>
      </c>
      <c r="D4" s="32">
        <v>661.38</v>
      </c>
      <c r="E4" s="34" t="str">
        <f t="shared" si="0"/>
        <v>PLANT15|Bhopal</v>
      </c>
    </row>
    <row r="5" spans="1:5" ht="15" customHeight="1" x14ac:dyDescent="0.25">
      <c r="A5" s="32" t="s">
        <v>152</v>
      </c>
      <c r="B5" s="32" t="s">
        <v>58</v>
      </c>
      <c r="C5" s="32">
        <v>29329.459590446899</v>
      </c>
      <c r="D5" s="32">
        <v>1354.31</v>
      </c>
      <c r="E5" s="34" t="str">
        <f t="shared" si="0"/>
        <v>PLANT15|Chandigarh</v>
      </c>
    </row>
    <row r="6" spans="1:5" ht="15" customHeight="1" x14ac:dyDescent="0.25">
      <c r="A6" s="32" t="s">
        <v>152</v>
      </c>
      <c r="B6" s="32" t="s">
        <v>61</v>
      </c>
      <c r="C6" s="32">
        <v>14341.743357687499</v>
      </c>
      <c r="D6" s="32">
        <v>1033.08</v>
      </c>
      <c r="E6" s="34" t="str">
        <f t="shared" si="0"/>
        <v>PLANT15|Chennai</v>
      </c>
    </row>
    <row r="7" spans="1:5" ht="15" customHeight="1" x14ac:dyDescent="0.25">
      <c r="A7" s="32" t="s">
        <v>152</v>
      </c>
      <c r="B7" s="32" t="s">
        <v>63</v>
      </c>
      <c r="C7" s="32">
        <v>16571.403311052502</v>
      </c>
      <c r="D7" s="32">
        <v>997.23</v>
      </c>
      <c r="E7" s="34" t="str">
        <f t="shared" si="0"/>
        <v>PLANT15|Coimbatore</v>
      </c>
    </row>
    <row r="8" spans="1:5" ht="15" customHeight="1" x14ac:dyDescent="0.25">
      <c r="A8" s="32" t="s">
        <v>152</v>
      </c>
      <c r="B8" s="32" t="s">
        <v>65</v>
      </c>
      <c r="C8" s="32">
        <v>8622.4513590049301</v>
      </c>
      <c r="D8" s="32">
        <v>1153.23</v>
      </c>
      <c r="E8" s="34" t="str">
        <f t="shared" si="0"/>
        <v>PLANT15|Delhi NCR</v>
      </c>
    </row>
    <row r="9" spans="1:5" ht="15" customHeight="1" x14ac:dyDescent="0.25">
      <c r="A9" s="32" t="s">
        <v>152</v>
      </c>
      <c r="B9" s="32" t="s">
        <v>66</v>
      </c>
      <c r="C9" s="32">
        <v>446.57233652448298</v>
      </c>
      <c r="D9" s="32">
        <v>2086.31</v>
      </c>
      <c r="E9" s="34" t="str">
        <f t="shared" si="0"/>
        <v>PLANT15|Guwahati</v>
      </c>
    </row>
    <row r="10" spans="1:5" ht="15" customHeight="1" x14ac:dyDescent="0.25">
      <c r="A10" s="32" t="s">
        <v>152</v>
      </c>
      <c r="B10" s="32" t="s">
        <v>67</v>
      </c>
      <c r="C10" s="32">
        <v>1466.2151817014101</v>
      </c>
      <c r="D10" s="32">
        <v>621.46</v>
      </c>
      <c r="E10" s="34" t="str">
        <f t="shared" si="0"/>
        <v>PLANT15|Hyderabad</v>
      </c>
    </row>
    <row r="11" spans="1:5" ht="15" customHeight="1" x14ac:dyDescent="0.25">
      <c r="A11" s="32" t="s">
        <v>152</v>
      </c>
      <c r="B11" s="32" t="s">
        <v>69</v>
      </c>
      <c r="C11" s="32">
        <v>2955.3242428547501</v>
      </c>
      <c r="D11" s="32">
        <v>509.85</v>
      </c>
      <c r="E11" s="34" t="str">
        <f t="shared" si="0"/>
        <v>PLANT15|Indore</v>
      </c>
    </row>
    <row r="12" spans="1:5" ht="15" customHeight="1" x14ac:dyDescent="0.25">
      <c r="A12" s="32" t="s">
        <v>152</v>
      </c>
      <c r="B12" s="32" t="s">
        <v>71</v>
      </c>
      <c r="C12" s="32">
        <v>1554.1188182020101</v>
      </c>
      <c r="D12" s="32">
        <v>920.77</v>
      </c>
      <c r="E12" s="34" t="str">
        <f t="shared" si="0"/>
        <v>PLANT15|Jaipur</v>
      </c>
    </row>
    <row r="13" spans="1:5" ht="15" customHeight="1" x14ac:dyDescent="0.25">
      <c r="A13" s="32" t="s">
        <v>152</v>
      </c>
      <c r="B13" s="32" t="s">
        <v>72</v>
      </c>
      <c r="C13" s="32">
        <v>18988.482376632699</v>
      </c>
      <c r="D13" s="32">
        <v>1080.1500000000001</v>
      </c>
      <c r="E13" s="34" t="str">
        <f t="shared" si="0"/>
        <v>PLANT15|Kochi</v>
      </c>
    </row>
    <row r="14" spans="1:5" ht="15" customHeight="1" x14ac:dyDescent="0.25">
      <c r="A14" s="32" t="s">
        <v>152</v>
      </c>
      <c r="B14" s="32" t="s">
        <v>73</v>
      </c>
      <c r="C14" s="32">
        <v>7298.3712461721198</v>
      </c>
      <c r="D14" s="32">
        <v>1654.85</v>
      </c>
      <c r="E14" s="34" t="str">
        <f t="shared" si="0"/>
        <v>PLANT15|Kolkata</v>
      </c>
    </row>
    <row r="15" spans="1:5" ht="15" customHeight="1" x14ac:dyDescent="0.25">
      <c r="A15" s="32" t="s">
        <v>152</v>
      </c>
      <c r="B15" s="32" t="s">
        <v>74</v>
      </c>
      <c r="C15" s="32">
        <v>4672.0364117134004</v>
      </c>
      <c r="D15" s="32">
        <v>1194.69</v>
      </c>
      <c r="E15" s="34" t="str">
        <f t="shared" si="0"/>
        <v>PLANT15|Lucknow</v>
      </c>
    </row>
    <row r="16" spans="1:5" ht="15" customHeight="1" x14ac:dyDescent="0.25">
      <c r="A16" s="32" t="s">
        <v>152</v>
      </c>
      <c r="B16" s="32" t="s">
        <v>75</v>
      </c>
      <c r="C16" s="32">
        <v>297.54748607064602</v>
      </c>
      <c r="D16" s="32">
        <v>0</v>
      </c>
      <c r="E16" s="34" t="str">
        <f t="shared" si="0"/>
        <v>PLANT15|Mumbai</v>
      </c>
    </row>
    <row r="17" spans="1:5" ht="15" customHeight="1" x14ac:dyDescent="0.25">
      <c r="A17" s="32" t="s">
        <v>152</v>
      </c>
      <c r="B17" s="32" t="s">
        <v>76</v>
      </c>
      <c r="C17" s="32">
        <v>3937.76105977931</v>
      </c>
      <c r="D17" s="32">
        <v>688</v>
      </c>
      <c r="E17" s="34" t="str">
        <f t="shared" si="0"/>
        <v>PLANT15|Nagpur</v>
      </c>
    </row>
    <row r="18" spans="1:5" ht="15" customHeight="1" x14ac:dyDescent="0.25">
      <c r="A18" s="32" t="s">
        <v>152</v>
      </c>
      <c r="B18" s="32" t="s">
        <v>77</v>
      </c>
      <c r="C18" s="32">
        <v>1341.1888179498901</v>
      </c>
      <c r="D18" s="32">
        <v>120.15</v>
      </c>
      <c r="E18" s="34" t="str">
        <f t="shared" si="0"/>
        <v>PLANT15|Pune</v>
      </c>
    </row>
    <row r="19" spans="1:5" ht="15" customHeight="1" x14ac:dyDescent="0.25">
      <c r="A19" s="32" t="s">
        <v>152</v>
      </c>
      <c r="B19" s="32" t="s">
        <v>78</v>
      </c>
      <c r="C19" s="32">
        <v>49866.654462875602</v>
      </c>
      <c r="D19" s="32">
        <v>1101.8499999999999</v>
      </c>
      <c r="E19" s="34" t="str">
        <f t="shared" si="0"/>
        <v>PLANT15|Visakhapatnam</v>
      </c>
    </row>
    <row r="20" spans="1:5" ht="15" customHeight="1" x14ac:dyDescent="0.25">
      <c r="A20" s="32" t="s">
        <v>60</v>
      </c>
      <c r="B20" s="32" t="s">
        <v>51</v>
      </c>
      <c r="C20" s="32">
        <v>5343.7984483899199</v>
      </c>
      <c r="D20" s="32">
        <v>777.38</v>
      </c>
      <c r="E20" s="34" t="str">
        <f t="shared" si="0"/>
        <v>PLANT05|Ahmedabad</v>
      </c>
    </row>
    <row r="21" spans="1:5" ht="15" customHeight="1" x14ac:dyDescent="0.25">
      <c r="A21" s="32" t="s">
        <v>60</v>
      </c>
      <c r="B21" s="32" t="s">
        <v>54</v>
      </c>
      <c r="C21" s="32">
        <v>6653.6143841089297</v>
      </c>
      <c r="D21" s="32">
        <v>1750.08</v>
      </c>
      <c r="E21" s="34" t="str">
        <f t="shared" si="0"/>
        <v>PLANT05|Bengaluru</v>
      </c>
    </row>
    <row r="22" spans="1:5" ht="15" customHeight="1" x14ac:dyDescent="0.25">
      <c r="A22" s="32" t="s">
        <v>60</v>
      </c>
      <c r="B22" s="32" t="s">
        <v>56</v>
      </c>
      <c r="C22" s="32">
        <v>9430.8576330686792</v>
      </c>
      <c r="D22" s="32">
        <v>606.15</v>
      </c>
      <c r="E22" s="34" t="str">
        <f t="shared" si="0"/>
        <v>PLANT05|Bhopal</v>
      </c>
    </row>
    <row r="23" spans="1:5" ht="15" customHeight="1" x14ac:dyDescent="0.25">
      <c r="A23" s="32" t="s">
        <v>60</v>
      </c>
      <c r="B23" s="32" t="s">
        <v>58</v>
      </c>
      <c r="C23" s="32">
        <v>29329.459590446899</v>
      </c>
      <c r="D23" s="32">
        <v>227.77</v>
      </c>
      <c r="E23" s="34" t="str">
        <f t="shared" si="0"/>
        <v>PLANT05|Chandigarh</v>
      </c>
    </row>
    <row r="24" spans="1:5" ht="15" customHeight="1" x14ac:dyDescent="0.25">
      <c r="A24" s="32" t="s">
        <v>60</v>
      </c>
      <c r="B24" s="32" t="s">
        <v>61</v>
      </c>
      <c r="C24" s="32">
        <v>14341.743357687499</v>
      </c>
      <c r="D24" s="32">
        <v>1767.62</v>
      </c>
      <c r="E24" s="34" t="str">
        <f t="shared" si="0"/>
        <v>PLANT05|Chennai</v>
      </c>
    </row>
    <row r="25" spans="1:5" ht="15" customHeight="1" x14ac:dyDescent="0.25">
      <c r="A25" s="32" t="s">
        <v>60</v>
      </c>
      <c r="B25" s="32" t="s">
        <v>63</v>
      </c>
      <c r="C25" s="32">
        <v>16571.403311052502</v>
      </c>
      <c r="D25" s="32">
        <v>1966.77</v>
      </c>
      <c r="E25" s="34" t="str">
        <f t="shared" si="0"/>
        <v>PLANT05|Coimbatore</v>
      </c>
    </row>
    <row r="26" spans="1:5" ht="15" customHeight="1" x14ac:dyDescent="0.25">
      <c r="A26" s="32" t="s">
        <v>60</v>
      </c>
      <c r="B26" s="32" t="s">
        <v>65</v>
      </c>
      <c r="C26" s="32">
        <v>8622.4513590049301</v>
      </c>
      <c r="D26" s="32">
        <v>0</v>
      </c>
      <c r="E26" s="34" t="str">
        <f t="shared" si="0"/>
        <v>PLANT05|Delhi NCR</v>
      </c>
    </row>
    <row r="27" spans="1:5" ht="15" customHeight="1" x14ac:dyDescent="0.25">
      <c r="A27" s="32" t="s">
        <v>60</v>
      </c>
      <c r="B27" s="32" t="s">
        <v>66</v>
      </c>
      <c r="C27" s="32">
        <v>446.57233652448298</v>
      </c>
      <c r="D27" s="32">
        <v>1471.08</v>
      </c>
      <c r="E27" s="34" t="str">
        <f t="shared" si="0"/>
        <v>PLANT05|Guwahati</v>
      </c>
    </row>
    <row r="28" spans="1:5" ht="15" customHeight="1" x14ac:dyDescent="0.25">
      <c r="A28" s="32" t="s">
        <v>60</v>
      </c>
      <c r="B28" s="32" t="s">
        <v>67</v>
      </c>
      <c r="C28" s="32">
        <v>1466.2151817014101</v>
      </c>
      <c r="D28" s="32">
        <v>1266.54</v>
      </c>
      <c r="E28" s="34" t="str">
        <f t="shared" si="0"/>
        <v>PLANT05|Hyderabad</v>
      </c>
    </row>
    <row r="29" spans="1:5" ht="15" customHeight="1" x14ac:dyDescent="0.25">
      <c r="A29" s="32" t="s">
        <v>60</v>
      </c>
      <c r="B29" s="32" t="s">
        <v>69</v>
      </c>
      <c r="C29" s="32">
        <v>2955.3242428547501</v>
      </c>
      <c r="D29" s="32">
        <v>677</v>
      </c>
      <c r="E29" s="34" t="str">
        <f t="shared" si="0"/>
        <v>PLANT05|Indore</v>
      </c>
    </row>
    <row r="30" spans="1:5" ht="15" customHeight="1" x14ac:dyDescent="0.25">
      <c r="A30" s="32" t="s">
        <v>60</v>
      </c>
      <c r="B30" s="32" t="s">
        <v>71</v>
      </c>
      <c r="C30" s="32">
        <v>1554.1188182020101</v>
      </c>
      <c r="D30" s="32">
        <v>237.54</v>
      </c>
      <c r="E30" s="34" t="str">
        <f t="shared" si="0"/>
        <v>PLANT05|Jaipur</v>
      </c>
    </row>
    <row r="31" spans="1:5" ht="15" customHeight="1" x14ac:dyDescent="0.25">
      <c r="A31" s="32" t="s">
        <v>60</v>
      </c>
      <c r="B31" s="32" t="s">
        <v>72</v>
      </c>
      <c r="C31" s="32">
        <v>18988.482376632699</v>
      </c>
      <c r="D31" s="32">
        <v>2089.23</v>
      </c>
      <c r="E31" s="34" t="str">
        <f t="shared" si="0"/>
        <v>PLANT05|Kochi</v>
      </c>
    </row>
    <row r="32" spans="1:5" ht="15" customHeight="1" x14ac:dyDescent="0.25">
      <c r="A32" s="32" t="s">
        <v>60</v>
      </c>
      <c r="B32" s="32" t="s">
        <v>73</v>
      </c>
      <c r="C32" s="32">
        <v>7298.3712461721198</v>
      </c>
      <c r="D32" s="32">
        <v>1317.77</v>
      </c>
      <c r="E32" s="34" t="str">
        <f t="shared" si="0"/>
        <v>PLANT05|Kolkata</v>
      </c>
    </row>
    <row r="33" spans="1:5" ht="15" customHeight="1" x14ac:dyDescent="0.25">
      <c r="A33" s="32" t="s">
        <v>60</v>
      </c>
      <c r="B33" s="32" t="s">
        <v>74</v>
      </c>
      <c r="C33" s="32">
        <v>4672.0364117134004</v>
      </c>
      <c r="D33" s="32">
        <v>430.85</v>
      </c>
      <c r="E33" s="34" t="str">
        <f t="shared" si="0"/>
        <v>PLANT05|Lucknow</v>
      </c>
    </row>
    <row r="34" spans="1:5" ht="15" customHeight="1" x14ac:dyDescent="0.25">
      <c r="A34" s="32" t="s">
        <v>60</v>
      </c>
      <c r="B34" s="32" t="s">
        <v>75</v>
      </c>
      <c r="C34" s="32">
        <v>297.54748607064602</v>
      </c>
      <c r="D34" s="32">
        <v>1153.23</v>
      </c>
      <c r="E34" s="34" t="str">
        <f t="shared" si="0"/>
        <v>PLANT05|Mumbai</v>
      </c>
    </row>
    <row r="35" spans="1:5" ht="15" customHeight="1" x14ac:dyDescent="0.25">
      <c r="A35" s="32" t="s">
        <v>60</v>
      </c>
      <c r="B35" s="32" t="s">
        <v>76</v>
      </c>
      <c r="C35" s="32">
        <v>3937.76105977931</v>
      </c>
      <c r="D35" s="32">
        <v>863.92</v>
      </c>
      <c r="E35" s="34" t="str">
        <f t="shared" si="0"/>
        <v>PLANT05|Nagpur</v>
      </c>
    </row>
    <row r="36" spans="1:5" ht="15" customHeight="1" x14ac:dyDescent="0.25">
      <c r="A36" s="32" t="s">
        <v>60</v>
      </c>
      <c r="B36" s="32" t="s">
        <v>77</v>
      </c>
      <c r="C36" s="32">
        <v>1341.1888179498901</v>
      </c>
      <c r="D36" s="32">
        <v>1179.46</v>
      </c>
      <c r="E36" s="34" t="str">
        <f t="shared" si="0"/>
        <v>PLANT05|Pune</v>
      </c>
    </row>
    <row r="37" spans="1:5" ht="15" customHeight="1" x14ac:dyDescent="0.25">
      <c r="A37" s="32" t="s">
        <v>60</v>
      </c>
      <c r="B37" s="32" t="s">
        <v>78</v>
      </c>
      <c r="C37" s="32">
        <v>49866.654462875602</v>
      </c>
      <c r="D37" s="32">
        <v>1374.62</v>
      </c>
      <c r="E37" s="34" t="str">
        <f t="shared" si="0"/>
        <v>PLANT05|Visakhapatnam</v>
      </c>
    </row>
    <row r="38" spans="1:5" ht="15" customHeight="1" x14ac:dyDescent="0.25">
      <c r="A38" s="32" t="s">
        <v>68</v>
      </c>
      <c r="B38" s="32" t="s">
        <v>51</v>
      </c>
      <c r="C38" s="32">
        <v>5343.7984483899199</v>
      </c>
      <c r="D38" s="32">
        <v>540.46</v>
      </c>
      <c r="E38" s="34" t="str">
        <f t="shared" si="0"/>
        <v>PLANT02|Ahmedabad</v>
      </c>
    </row>
    <row r="39" spans="1:5" ht="15" customHeight="1" x14ac:dyDescent="0.25">
      <c r="A39" s="32" t="s">
        <v>68</v>
      </c>
      <c r="B39" s="32" t="s">
        <v>54</v>
      </c>
      <c r="C39" s="32">
        <v>6653.6143841089297</v>
      </c>
      <c r="D39" s="32">
        <v>1561.54</v>
      </c>
      <c r="E39" s="34" t="str">
        <f t="shared" si="0"/>
        <v>PLANT02|Bengaluru</v>
      </c>
    </row>
    <row r="40" spans="1:5" ht="15" customHeight="1" x14ac:dyDescent="0.25">
      <c r="A40" s="32" t="s">
        <v>68</v>
      </c>
      <c r="B40" s="32" t="s">
        <v>56</v>
      </c>
      <c r="C40" s="32">
        <v>9430.8576330686792</v>
      </c>
      <c r="D40" s="32">
        <v>437.85</v>
      </c>
      <c r="E40" s="34" t="str">
        <f t="shared" si="0"/>
        <v>PLANT02|Bhopal</v>
      </c>
    </row>
    <row r="41" spans="1:5" ht="15" customHeight="1" x14ac:dyDescent="0.25">
      <c r="A41" s="32" t="s">
        <v>68</v>
      </c>
      <c r="B41" s="32" t="s">
        <v>58</v>
      </c>
      <c r="C41" s="32">
        <v>29329.459590446899</v>
      </c>
      <c r="D41" s="32">
        <v>435.69</v>
      </c>
      <c r="E41" s="34" t="str">
        <f t="shared" si="0"/>
        <v>PLANT02|Chandigarh</v>
      </c>
    </row>
    <row r="42" spans="1:5" ht="15" customHeight="1" x14ac:dyDescent="0.25">
      <c r="A42" s="32" t="s">
        <v>68</v>
      </c>
      <c r="B42" s="32" t="s">
        <v>61</v>
      </c>
      <c r="C42" s="32">
        <v>14341.743357687499</v>
      </c>
      <c r="D42" s="32">
        <v>1607.08</v>
      </c>
      <c r="E42" s="34" t="str">
        <f t="shared" si="0"/>
        <v>PLANT02|Chennai</v>
      </c>
    </row>
    <row r="43" spans="1:5" ht="15" customHeight="1" x14ac:dyDescent="0.25">
      <c r="A43" s="32" t="s">
        <v>68</v>
      </c>
      <c r="B43" s="32" t="s">
        <v>63</v>
      </c>
      <c r="C43" s="32">
        <v>16571.403311052502</v>
      </c>
      <c r="D43" s="32">
        <v>1771.77</v>
      </c>
      <c r="E43" s="34" t="str">
        <f t="shared" si="0"/>
        <v>PLANT02|Coimbatore</v>
      </c>
    </row>
    <row r="44" spans="1:5" ht="15" customHeight="1" x14ac:dyDescent="0.25">
      <c r="A44" s="32" t="s">
        <v>68</v>
      </c>
      <c r="B44" s="32" t="s">
        <v>65</v>
      </c>
      <c r="C44" s="32">
        <v>8622.4513590049301</v>
      </c>
      <c r="D44" s="32">
        <v>237.54</v>
      </c>
      <c r="E44" s="34" t="str">
        <f t="shared" si="0"/>
        <v>PLANT02|Delhi NCR</v>
      </c>
    </row>
    <row r="45" spans="1:5" ht="15" customHeight="1" x14ac:dyDescent="0.25">
      <c r="A45" s="32" t="s">
        <v>68</v>
      </c>
      <c r="B45" s="32" t="s">
        <v>66</v>
      </c>
      <c r="C45" s="32">
        <v>446.57233652448298</v>
      </c>
      <c r="D45" s="32">
        <v>1588</v>
      </c>
      <c r="E45" s="34" t="str">
        <f t="shared" si="0"/>
        <v>PLANT02|Guwahati</v>
      </c>
    </row>
    <row r="46" spans="1:5" ht="15" customHeight="1" x14ac:dyDescent="0.25">
      <c r="A46" s="32" t="s">
        <v>68</v>
      </c>
      <c r="B46" s="32" t="s">
        <v>67</v>
      </c>
      <c r="C46" s="32">
        <v>1466.2151817014101</v>
      </c>
      <c r="D46" s="32">
        <v>1095.1500000000001</v>
      </c>
      <c r="E46" s="34" t="str">
        <f t="shared" si="0"/>
        <v>PLANT02|Hyderabad</v>
      </c>
    </row>
    <row r="47" spans="1:5" ht="15" customHeight="1" x14ac:dyDescent="0.25">
      <c r="A47" s="32" t="s">
        <v>68</v>
      </c>
      <c r="B47" s="32" t="s">
        <v>69</v>
      </c>
      <c r="C47" s="32">
        <v>2955.3242428547501</v>
      </c>
      <c r="D47" s="32">
        <v>466.31</v>
      </c>
      <c r="E47" s="34" t="str">
        <f t="shared" si="0"/>
        <v>PLANT02|Indore</v>
      </c>
    </row>
    <row r="48" spans="1:5" ht="15" customHeight="1" x14ac:dyDescent="0.25">
      <c r="A48" s="32" t="s">
        <v>68</v>
      </c>
      <c r="B48" s="32" t="s">
        <v>71</v>
      </c>
      <c r="C48" s="32">
        <v>1554.1188182020101</v>
      </c>
      <c r="D48" s="32">
        <v>0</v>
      </c>
      <c r="E48" s="34" t="str">
        <f t="shared" si="0"/>
        <v>PLANT02|Jaipur</v>
      </c>
    </row>
    <row r="49" spans="1:5" ht="15" customHeight="1" x14ac:dyDescent="0.25">
      <c r="A49" s="32" t="s">
        <v>68</v>
      </c>
      <c r="B49" s="32" t="s">
        <v>72</v>
      </c>
      <c r="C49" s="32">
        <v>18988.482376632699</v>
      </c>
      <c r="D49" s="32">
        <v>1888.92</v>
      </c>
      <c r="E49" s="34" t="str">
        <f t="shared" si="0"/>
        <v>PLANT02|Kochi</v>
      </c>
    </row>
    <row r="50" spans="1:5" ht="15" customHeight="1" x14ac:dyDescent="0.25">
      <c r="A50" s="32" t="s">
        <v>68</v>
      </c>
      <c r="B50" s="32" t="s">
        <v>73</v>
      </c>
      <c r="C50" s="32">
        <v>7298.3712461721198</v>
      </c>
      <c r="D50" s="32">
        <v>1357.77</v>
      </c>
      <c r="E50" s="34" t="str">
        <f t="shared" si="0"/>
        <v>PLANT02|Kolkata</v>
      </c>
    </row>
    <row r="51" spans="1:5" ht="15" customHeight="1" x14ac:dyDescent="0.25">
      <c r="A51" s="32" t="s">
        <v>68</v>
      </c>
      <c r="B51" s="32" t="s">
        <v>74</v>
      </c>
      <c r="C51" s="32">
        <v>4672.0364117134004</v>
      </c>
      <c r="D51" s="32">
        <v>511.69</v>
      </c>
      <c r="E51" s="34" t="str">
        <f t="shared" si="0"/>
        <v>PLANT02|Lucknow</v>
      </c>
    </row>
    <row r="52" spans="1:5" ht="15" customHeight="1" x14ac:dyDescent="0.25">
      <c r="A52" s="32" t="s">
        <v>68</v>
      </c>
      <c r="B52" s="32" t="s">
        <v>75</v>
      </c>
      <c r="C52" s="32">
        <v>297.54748607064602</v>
      </c>
      <c r="D52" s="32">
        <v>920.77</v>
      </c>
      <c r="E52" s="34" t="str">
        <f t="shared" si="0"/>
        <v>PLANT02|Mumbai</v>
      </c>
    </row>
    <row r="53" spans="1:5" ht="15" customHeight="1" x14ac:dyDescent="0.25">
      <c r="A53" s="32" t="s">
        <v>68</v>
      </c>
      <c r="B53" s="32" t="s">
        <v>76</v>
      </c>
      <c r="C53" s="32">
        <v>3937.76105977931</v>
      </c>
      <c r="D53" s="32">
        <v>723.46</v>
      </c>
      <c r="E53" s="34" t="str">
        <f t="shared" si="0"/>
        <v>PLANT02|Nagpur</v>
      </c>
    </row>
    <row r="54" spans="1:5" ht="15" customHeight="1" x14ac:dyDescent="0.25">
      <c r="A54" s="32" t="s">
        <v>68</v>
      </c>
      <c r="B54" s="32" t="s">
        <v>77</v>
      </c>
      <c r="C54" s="32">
        <v>1341.1888179498901</v>
      </c>
      <c r="D54" s="32">
        <v>953.85</v>
      </c>
      <c r="E54" s="34" t="str">
        <f t="shared" si="0"/>
        <v>PLANT02|Pune</v>
      </c>
    </row>
    <row r="55" spans="1:5" ht="15" customHeight="1" x14ac:dyDescent="0.25">
      <c r="A55" s="32" t="s">
        <v>68</v>
      </c>
      <c r="B55" s="32" t="s">
        <v>78</v>
      </c>
      <c r="C55" s="32">
        <v>49866.654462875602</v>
      </c>
      <c r="D55" s="32">
        <v>1278.6199999999999</v>
      </c>
      <c r="E55" s="34" t="str">
        <f t="shared" si="0"/>
        <v>PLANT02|Visakhapatnam</v>
      </c>
    </row>
    <row r="56" spans="1:5" ht="15" customHeight="1" x14ac:dyDescent="0.25">
      <c r="A56" s="32" t="s">
        <v>140</v>
      </c>
      <c r="B56" s="32" t="s">
        <v>51</v>
      </c>
      <c r="C56" s="32">
        <v>5343.7984483899199</v>
      </c>
      <c r="D56" s="32">
        <v>518.15</v>
      </c>
      <c r="E56" s="34" t="str">
        <f t="shared" si="0"/>
        <v>PLANT01|Ahmedabad</v>
      </c>
    </row>
    <row r="57" spans="1:5" ht="15" customHeight="1" x14ac:dyDescent="0.25">
      <c r="A57" s="32" t="s">
        <v>140</v>
      </c>
      <c r="B57" s="32" t="s">
        <v>54</v>
      </c>
      <c r="C57" s="32">
        <v>6653.6143841089297</v>
      </c>
      <c r="D57" s="32">
        <v>735.23</v>
      </c>
      <c r="E57" s="34" t="str">
        <f t="shared" si="0"/>
        <v>PLANT01|Bengaluru</v>
      </c>
    </row>
    <row r="58" spans="1:5" ht="15" customHeight="1" x14ac:dyDescent="0.25">
      <c r="A58" s="32" t="s">
        <v>140</v>
      </c>
      <c r="B58" s="32" t="s">
        <v>56</v>
      </c>
      <c r="C58" s="32">
        <v>9430.8576330686792</v>
      </c>
      <c r="D58" s="32">
        <v>643.46</v>
      </c>
      <c r="E58" s="34" t="str">
        <f t="shared" si="0"/>
        <v>PLANT01|Bhopal</v>
      </c>
    </row>
    <row r="59" spans="1:5" ht="15" customHeight="1" x14ac:dyDescent="0.25">
      <c r="A59" s="32" t="s">
        <v>140</v>
      </c>
      <c r="B59" s="32" t="s">
        <v>58</v>
      </c>
      <c r="C59" s="32">
        <v>29329.459590446899</v>
      </c>
      <c r="D59" s="32">
        <v>1389.62</v>
      </c>
      <c r="E59" s="34" t="str">
        <f t="shared" si="0"/>
        <v>PLANT01|Chandigarh</v>
      </c>
    </row>
    <row r="60" spans="1:5" ht="15" customHeight="1" x14ac:dyDescent="0.25">
      <c r="A60" s="32" t="s">
        <v>140</v>
      </c>
      <c r="B60" s="32" t="s">
        <v>61</v>
      </c>
      <c r="C60" s="32">
        <v>14341.743357687499</v>
      </c>
      <c r="D60" s="32">
        <v>914.38</v>
      </c>
      <c r="E60" s="34" t="str">
        <f t="shared" si="0"/>
        <v>PLANT01|Chennai</v>
      </c>
    </row>
    <row r="61" spans="1:5" ht="15" customHeight="1" x14ac:dyDescent="0.25">
      <c r="A61" s="32" t="s">
        <v>140</v>
      </c>
      <c r="B61" s="32" t="s">
        <v>63</v>
      </c>
      <c r="C61" s="32">
        <v>16571.403311052502</v>
      </c>
      <c r="D61" s="32">
        <v>898.31</v>
      </c>
      <c r="E61" s="34" t="str">
        <f t="shared" si="0"/>
        <v>PLANT01|Coimbatore</v>
      </c>
    </row>
    <row r="62" spans="1:5" ht="15" customHeight="1" x14ac:dyDescent="0.25">
      <c r="A62" s="32" t="s">
        <v>140</v>
      </c>
      <c r="B62" s="32" t="s">
        <v>65</v>
      </c>
      <c r="C62" s="32">
        <v>8622.4513590049301</v>
      </c>
      <c r="D62" s="32">
        <v>1179.46</v>
      </c>
      <c r="E62" s="34" t="str">
        <f t="shared" si="0"/>
        <v>PLANT01|Delhi NCR</v>
      </c>
    </row>
    <row r="63" spans="1:5" ht="15" customHeight="1" x14ac:dyDescent="0.25">
      <c r="A63" s="32" t="s">
        <v>140</v>
      </c>
      <c r="B63" s="32" t="s">
        <v>66</v>
      </c>
      <c r="C63" s="32">
        <v>446.57233652448298</v>
      </c>
      <c r="D63" s="32">
        <v>2022.15</v>
      </c>
      <c r="E63" s="34" t="str">
        <f t="shared" si="0"/>
        <v>PLANT01|Guwahati</v>
      </c>
    </row>
    <row r="64" spans="1:5" ht="15" customHeight="1" x14ac:dyDescent="0.25">
      <c r="A64" s="32" t="s">
        <v>140</v>
      </c>
      <c r="B64" s="32" t="s">
        <v>67</v>
      </c>
      <c r="C64" s="32">
        <v>1466.2151817014101</v>
      </c>
      <c r="D64" s="32">
        <v>505.77</v>
      </c>
      <c r="E64" s="34" t="str">
        <f t="shared" si="0"/>
        <v>PLANT01|Hyderabad</v>
      </c>
    </row>
    <row r="65" spans="1:5" ht="15" customHeight="1" x14ac:dyDescent="0.25">
      <c r="A65" s="32" t="s">
        <v>140</v>
      </c>
      <c r="B65" s="32" t="s">
        <v>69</v>
      </c>
      <c r="C65" s="32">
        <v>2955.3242428547501</v>
      </c>
      <c r="D65" s="32">
        <v>511.23</v>
      </c>
      <c r="E65" s="34" t="str">
        <f t="shared" si="0"/>
        <v>PLANT01|Indore</v>
      </c>
    </row>
    <row r="66" spans="1:5" ht="15" customHeight="1" x14ac:dyDescent="0.25">
      <c r="A66" s="32" t="s">
        <v>140</v>
      </c>
      <c r="B66" s="32" t="s">
        <v>71</v>
      </c>
      <c r="C66" s="32">
        <v>1554.1188182020101</v>
      </c>
      <c r="D66" s="32">
        <v>953.85</v>
      </c>
      <c r="E66" s="34" t="str">
        <f t="shared" ref="E66:E129" si="1">A66&amp;"|"&amp;B66</f>
        <v>PLANT01|Jaipur</v>
      </c>
    </row>
    <row r="67" spans="1:5" ht="15" customHeight="1" x14ac:dyDescent="0.25">
      <c r="A67" s="32" t="s">
        <v>140</v>
      </c>
      <c r="B67" s="32" t="s">
        <v>72</v>
      </c>
      <c r="C67" s="32">
        <v>18988.482376632699</v>
      </c>
      <c r="D67" s="32">
        <v>989.69</v>
      </c>
      <c r="E67" s="34" t="str">
        <f t="shared" si="1"/>
        <v>PLANT01|Kochi</v>
      </c>
    </row>
    <row r="68" spans="1:5" ht="15" customHeight="1" x14ac:dyDescent="0.25">
      <c r="A68" s="32" t="s">
        <v>140</v>
      </c>
      <c r="B68" s="32" t="s">
        <v>73</v>
      </c>
      <c r="C68" s="32">
        <v>7298.3712461721198</v>
      </c>
      <c r="D68" s="32">
        <v>1575.38</v>
      </c>
      <c r="E68" s="34" t="str">
        <f t="shared" si="1"/>
        <v>PLANT01|Kolkata</v>
      </c>
    </row>
    <row r="69" spans="1:5" ht="15" customHeight="1" x14ac:dyDescent="0.25">
      <c r="A69" s="32" t="s">
        <v>140</v>
      </c>
      <c r="B69" s="32" t="s">
        <v>74</v>
      </c>
      <c r="C69" s="32">
        <v>4672.0364117134004</v>
      </c>
      <c r="D69" s="32">
        <v>1176.69</v>
      </c>
      <c r="E69" s="34" t="str">
        <f t="shared" si="1"/>
        <v>PLANT01|Lucknow</v>
      </c>
    </row>
    <row r="70" spans="1:5" ht="15" customHeight="1" x14ac:dyDescent="0.25">
      <c r="A70" s="32" t="s">
        <v>140</v>
      </c>
      <c r="B70" s="32" t="s">
        <v>75</v>
      </c>
      <c r="C70" s="32">
        <v>297.54748607064602</v>
      </c>
      <c r="D70" s="32">
        <v>120.15</v>
      </c>
      <c r="E70" s="34" t="str">
        <f t="shared" si="1"/>
        <v>PLANT01|Mumbai</v>
      </c>
    </row>
    <row r="71" spans="1:5" ht="15" customHeight="1" x14ac:dyDescent="0.25">
      <c r="A71" s="32" t="s">
        <v>140</v>
      </c>
      <c r="B71" s="32" t="s">
        <v>76</v>
      </c>
      <c r="C71" s="32">
        <v>3937.76105977931</v>
      </c>
      <c r="D71" s="32">
        <v>620.15</v>
      </c>
      <c r="E71" s="34" t="str">
        <f t="shared" si="1"/>
        <v>PLANT01|Nagpur</v>
      </c>
    </row>
    <row r="72" spans="1:5" ht="15" customHeight="1" x14ac:dyDescent="0.25">
      <c r="A72" s="32" t="s">
        <v>140</v>
      </c>
      <c r="B72" s="32" t="s">
        <v>77</v>
      </c>
      <c r="C72" s="32">
        <v>1341.1888179498901</v>
      </c>
      <c r="D72" s="32">
        <v>0</v>
      </c>
      <c r="E72" s="34" t="str">
        <f t="shared" si="1"/>
        <v>PLANT01|Pune</v>
      </c>
    </row>
    <row r="73" spans="1:5" ht="15" customHeight="1" x14ac:dyDescent="0.25">
      <c r="A73" s="32" t="s">
        <v>140</v>
      </c>
      <c r="B73" s="32" t="s">
        <v>78</v>
      </c>
      <c r="C73" s="32">
        <v>49866.654462875602</v>
      </c>
      <c r="D73" s="32">
        <v>993.69</v>
      </c>
      <c r="E73" s="34" t="str">
        <f t="shared" si="1"/>
        <v>PLANT01|Visakhapatnam</v>
      </c>
    </row>
    <row r="74" spans="1:5" ht="15" customHeight="1" x14ac:dyDescent="0.25">
      <c r="A74" s="32" t="s">
        <v>143</v>
      </c>
      <c r="B74" s="32" t="s">
        <v>51</v>
      </c>
      <c r="C74" s="32">
        <v>5343.7984483899199</v>
      </c>
      <c r="D74" s="32">
        <v>495.69</v>
      </c>
      <c r="E74" s="34" t="str">
        <f t="shared" si="1"/>
        <v>PLANT06|Ahmedabad</v>
      </c>
    </row>
    <row r="75" spans="1:5" ht="15" customHeight="1" x14ac:dyDescent="0.25">
      <c r="A75" s="32" t="s">
        <v>143</v>
      </c>
      <c r="B75" s="32" t="s">
        <v>54</v>
      </c>
      <c r="C75" s="32">
        <v>6653.6143841089297</v>
      </c>
      <c r="D75" s="32">
        <v>1144.1500000000001</v>
      </c>
      <c r="E75" s="34" t="str">
        <f t="shared" si="1"/>
        <v>PLANT06|Bengaluru</v>
      </c>
    </row>
    <row r="76" spans="1:5" ht="15" customHeight="1" x14ac:dyDescent="0.25">
      <c r="A76" s="32" t="s">
        <v>143</v>
      </c>
      <c r="B76" s="32" t="s">
        <v>56</v>
      </c>
      <c r="C76" s="32">
        <v>9430.8576330686792</v>
      </c>
      <c r="D76" s="32">
        <v>0</v>
      </c>
      <c r="E76" s="34" t="str">
        <f t="shared" si="1"/>
        <v>PLANT06|Bhopal</v>
      </c>
    </row>
    <row r="77" spans="1:5" ht="15" customHeight="1" x14ac:dyDescent="0.25">
      <c r="A77" s="32" t="s">
        <v>143</v>
      </c>
      <c r="B77" s="32" t="s">
        <v>58</v>
      </c>
      <c r="C77" s="32">
        <v>29329.459590446899</v>
      </c>
      <c r="D77" s="32">
        <v>833.38</v>
      </c>
      <c r="E77" s="34" t="str">
        <f t="shared" si="1"/>
        <v>PLANT06|Chandigarh</v>
      </c>
    </row>
    <row r="78" spans="1:5" ht="15" customHeight="1" x14ac:dyDescent="0.25">
      <c r="A78" s="32" t="s">
        <v>143</v>
      </c>
      <c r="B78" s="32" t="s">
        <v>61</v>
      </c>
      <c r="C78" s="32">
        <v>14341.743357687499</v>
      </c>
      <c r="D78" s="32">
        <v>1171.08</v>
      </c>
      <c r="E78" s="34" t="str">
        <f t="shared" si="1"/>
        <v>PLANT06|Chennai</v>
      </c>
    </row>
    <row r="79" spans="1:5" ht="15" customHeight="1" x14ac:dyDescent="0.25">
      <c r="A79" s="32" t="s">
        <v>143</v>
      </c>
      <c r="B79" s="32" t="s">
        <v>63</v>
      </c>
      <c r="C79" s="32">
        <v>16571.403311052502</v>
      </c>
      <c r="D79" s="32">
        <v>1362.23</v>
      </c>
      <c r="E79" s="34" t="str">
        <f t="shared" si="1"/>
        <v>PLANT06|Coimbatore</v>
      </c>
    </row>
    <row r="80" spans="1:5" ht="15" customHeight="1" x14ac:dyDescent="0.25">
      <c r="A80" s="32" t="s">
        <v>143</v>
      </c>
      <c r="B80" s="32" t="s">
        <v>65</v>
      </c>
      <c r="C80" s="32">
        <v>8622.4513590049301</v>
      </c>
      <c r="D80" s="32">
        <v>606.15</v>
      </c>
      <c r="E80" s="34" t="str">
        <f t="shared" si="1"/>
        <v>PLANT06|Delhi NCR</v>
      </c>
    </row>
    <row r="81" spans="1:5" ht="15" customHeight="1" x14ac:dyDescent="0.25">
      <c r="A81" s="32" t="s">
        <v>143</v>
      </c>
      <c r="B81" s="32" t="s">
        <v>66</v>
      </c>
      <c r="C81" s="32">
        <v>446.57233652448298</v>
      </c>
      <c r="D81" s="32">
        <v>1481.23</v>
      </c>
      <c r="E81" s="34" t="str">
        <f t="shared" si="1"/>
        <v>PLANT06|Guwahati</v>
      </c>
    </row>
    <row r="82" spans="1:5" ht="15" customHeight="1" x14ac:dyDescent="0.25">
      <c r="A82" s="32" t="s">
        <v>143</v>
      </c>
      <c r="B82" s="32" t="s">
        <v>67</v>
      </c>
      <c r="C82" s="32">
        <v>1466.2151817014101</v>
      </c>
      <c r="D82" s="32">
        <v>662.77</v>
      </c>
      <c r="E82" s="34" t="str">
        <f t="shared" si="1"/>
        <v>PLANT06|Hyderabad</v>
      </c>
    </row>
    <row r="83" spans="1:5" ht="15" customHeight="1" x14ac:dyDescent="0.25">
      <c r="A83" s="32" t="s">
        <v>143</v>
      </c>
      <c r="B83" s="32" t="s">
        <v>69</v>
      </c>
      <c r="C83" s="32">
        <v>2955.3242428547501</v>
      </c>
      <c r="D83" s="32">
        <v>170.15</v>
      </c>
      <c r="E83" s="34" t="str">
        <f t="shared" si="1"/>
        <v>PLANT06|Indore</v>
      </c>
    </row>
    <row r="84" spans="1:5" ht="15" customHeight="1" x14ac:dyDescent="0.25">
      <c r="A84" s="32" t="s">
        <v>143</v>
      </c>
      <c r="B84" s="32" t="s">
        <v>71</v>
      </c>
      <c r="C84" s="32">
        <v>1554.1188182020101</v>
      </c>
      <c r="D84" s="32">
        <v>437.85</v>
      </c>
      <c r="E84" s="34" t="str">
        <f t="shared" si="1"/>
        <v>PLANT06|Jaipur</v>
      </c>
    </row>
    <row r="85" spans="1:5" ht="15" customHeight="1" x14ac:dyDescent="0.25">
      <c r="A85" s="32" t="s">
        <v>143</v>
      </c>
      <c r="B85" s="32" t="s">
        <v>72</v>
      </c>
      <c r="C85" s="32">
        <v>18988.482376632699</v>
      </c>
      <c r="D85" s="32">
        <v>1487.08</v>
      </c>
      <c r="E85" s="34" t="str">
        <f t="shared" si="1"/>
        <v>PLANT06|Kochi</v>
      </c>
    </row>
    <row r="86" spans="1:5" ht="15" customHeight="1" x14ac:dyDescent="0.25">
      <c r="A86" s="32" t="s">
        <v>143</v>
      </c>
      <c r="B86" s="32" t="s">
        <v>73</v>
      </c>
      <c r="C86" s="32">
        <v>7298.3712461721198</v>
      </c>
      <c r="D86" s="32">
        <v>1123.92</v>
      </c>
      <c r="E86" s="34" t="str">
        <f t="shared" si="1"/>
        <v>PLANT06|Kolkata</v>
      </c>
    </row>
    <row r="87" spans="1:5" ht="15" customHeight="1" x14ac:dyDescent="0.25">
      <c r="A87" s="32" t="s">
        <v>143</v>
      </c>
      <c r="B87" s="32" t="s">
        <v>74</v>
      </c>
      <c r="C87" s="32">
        <v>4672.0364117134004</v>
      </c>
      <c r="D87" s="32">
        <v>534.54</v>
      </c>
      <c r="E87" s="34" t="str">
        <f t="shared" si="1"/>
        <v>PLANT06|Lucknow</v>
      </c>
    </row>
    <row r="88" spans="1:5" ht="15" customHeight="1" x14ac:dyDescent="0.25">
      <c r="A88" s="32" t="s">
        <v>143</v>
      </c>
      <c r="B88" s="32" t="s">
        <v>75</v>
      </c>
      <c r="C88" s="32">
        <v>297.54748607064602</v>
      </c>
      <c r="D88" s="32">
        <v>661.38</v>
      </c>
      <c r="E88" s="34" t="str">
        <f t="shared" si="1"/>
        <v>PLANT06|Mumbai</v>
      </c>
    </row>
    <row r="89" spans="1:5" ht="15" customHeight="1" x14ac:dyDescent="0.25">
      <c r="A89" s="32" t="s">
        <v>143</v>
      </c>
      <c r="B89" s="32" t="s">
        <v>76</v>
      </c>
      <c r="C89" s="32">
        <v>3937.76105977931</v>
      </c>
      <c r="D89" s="32">
        <v>291.54000000000002</v>
      </c>
      <c r="E89" s="34" t="str">
        <f t="shared" si="1"/>
        <v>PLANT06|Nagpur</v>
      </c>
    </row>
    <row r="90" spans="1:5" ht="15" customHeight="1" x14ac:dyDescent="0.25">
      <c r="A90" s="32" t="s">
        <v>143</v>
      </c>
      <c r="B90" s="32" t="s">
        <v>77</v>
      </c>
      <c r="C90" s="32">
        <v>1341.1888179498901</v>
      </c>
      <c r="D90" s="32">
        <v>643.46</v>
      </c>
      <c r="E90" s="34" t="str">
        <f t="shared" si="1"/>
        <v>PLANT06|Pune</v>
      </c>
    </row>
    <row r="91" spans="1:5" ht="15" customHeight="1" x14ac:dyDescent="0.25">
      <c r="A91" s="32" t="s">
        <v>143</v>
      </c>
      <c r="B91" s="32" t="s">
        <v>78</v>
      </c>
      <c r="C91" s="32">
        <v>49866.654462875602</v>
      </c>
      <c r="D91" s="32">
        <v>865.69</v>
      </c>
      <c r="E91" s="34" t="str">
        <f t="shared" si="1"/>
        <v>PLANT06|Visakhapatnam</v>
      </c>
    </row>
    <row r="92" spans="1:5" ht="15" customHeight="1" x14ac:dyDescent="0.25">
      <c r="A92" s="32" t="s">
        <v>146</v>
      </c>
      <c r="B92" s="32" t="s">
        <v>51</v>
      </c>
      <c r="C92" s="32">
        <v>5343.7984483899199</v>
      </c>
      <c r="D92" s="32">
        <v>1371.85</v>
      </c>
      <c r="E92" s="34" t="str">
        <f t="shared" si="1"/>
        <v>PLANT10|Ahmedabad</v>
      </c>
    </row>
    <row r="93" spans="1:5" ht="15" customHeight="1" x14ac:dyDescent="0.25">
      <c r="A93" s="32" t="s">
        <v>146</v>
      </c>
      <c r="B93" s="32" t="s">
        <v>54</v>
      </c>
      <c r="C93" s="32">
        <v>6653.6143841089297</v>
      </c>
      <c r="D93" s="32">
        <v>290.14999999999998</v>
      </c>
      <c r="E93" s="34" t="str">
        <f t="shared" si="1"/>
        <v>PLANT10|Bengaluru</v>
      </c>
    </row>
    <row r="94" spans="1:5" ht="15" customHeight="1" x14ac:dyDescent="0.25">
      <c r="A94" s="32" t="s">
        <v>146</v>
      </c>
      <c r="B94" s="32" t="s">
        <v>56</v>
      </c>
      <c r="C94" s="32">
        <v>9430.8576330686792</v>
      </c>
      <c r="D94" s="32">
        <v>1171.08</v>
      </c>
      <c r="E94" s="34" t="str">
        <f t="shared" si="1"/>
        <v>PLANT10|Bhopal</v>
      </c>
    </row>
    <row r="95" spans="1:5" ht="15" customHeight="1" x14ac:dyDescent="0.25">
      <c r="A95" s="32" t="s">
        <v>146</v>
      </c>
      <c r="B95" s="32" t="s">
        <v>58</v>
      </c>
      <c r="C95" s="32">
        <v>29329.459590446899</v>
      </c>
      <c r="D95" s="32">
        <v>1995.08</v>
      </c>
      <c r="E95" s="34" t="str">
        <f t="shared" si="1"/>
        <v>PLANT10|Chandigarh</v>
      </c>
    </row>
    <row r="96" spans="1:5" ht="15" customHeight="1" x14ac:dyDescent="0.25">
      <c r="A96" s="32" t="s">
        <v>146</v>
      </c>
      <c r="B96" s="32" t="s">
        <v>61</v>
      </c>
      <c r="C96" s="32">
        <v>14341.743357687499</v>
      </c>
      <c r="D96" s="32">
        <v>0</v>
      </c>
      <c r="E96" s="34" t="str">
        <f t="shared" si="1"/>
        <v>PLANT10|Chennai</v>
      </c>
    </row>
    <row r="97" spans="1:5" ht="15" customHeight="1" x14ac:dyDescent="0.25">
      <c r="A97" s="32" t="s">
        <v>146</v>
      </c>
      <c r="B97" s="32" t="s">
        <v>63</v>
      </c>
      <c r="C97" s="32">
        <v>16571.403311052502</v>
      </c>
      <c r="D97" s="32">
        <v>427.46</v>
      </c>
      <c r="E97" s="34" t="str">
        <f t="shared" si="1"/>
        <v>PLANT10|Coimbatore</v>
      </c>
    </row>
    <row r="98" spans="1:5" ht="15" customHeight="1" x14ac:dyDescent="0.25">
      <c r="A98" s="32" t="s">
        <v>146</v>
      </c>
      <c r="B98" s="32" t="s">
        <v>65</v>
      </c>
      <c r="C98" s="32">
        <v>8622.4513590049301</v>
      </c>
      <c r="D98" s="32">
        <v>1767.62</v>
      </c>
      <c r="E98" s="34" t="str">
        <f t="shared" si="1"/>
        <v>PLANT10|Delhi NCR</v>
      </c>
    </row>
    <row r="99" spans="1:5" ht="15" customHeight="1" x14ac:dyDescent="0.25">
      <c r="A99" s="32" t="s">
        <v>146</v>
      </c>
      <c r="B99" s="32" t="s">
        <v>66</v>
      </c>
      <c r="C99" s="32">
        <v>446.57233652448298</v>
      </c>
      <c r="D99" s="32">
        <v>1882.15</v>
      </c>
      <c r="E99" s="34" t="str">
        <f t="shared" si="1"/>
        <v>PLANT10|Guwahati</v>
      </c>
    </row>
    <row r="100" spans="1:5" ht="15" customHeight="1" x14ac:dyDescent="0.25">
      <c r="A100" s="32" t="s">
        <v>146</v>
      </c>
      <c r="B100" s="32" t="s">
        <v>67</v>
      </c>
      <c r="C100" s="32">
        <v>1466.2151817014101</v>
      </c>
      <c r="D100" s="32">
        <v>515.23</v>
      </c>
      <c r="E100" s="34" t="str">
        <f t="shared" si="1"/>
        <v>PLANT10|Hyderabad</v>
      </c>
    </row>
    <row r="101" spans="1:5" ht="15" customHeight="1" x14ac:dyDescent="0.25">
      <c r="A101" s="32" t="s">
        <v>146</v>
      </c>
      <c r="B101" s="32" t="s">
        <v>69</v>
      </c>
      <c r="C101" s="32">
        <v>2955.3242428547501</v>
      </c>
      <c r="D101" s="32">
        <v>1168.6199999999999</v>
      </c>
      <c r="E101" s="34" t="str">
        <f t="shared" si="1"/>
        <v>PLANT10|Indore</v>
      </c>
    </row>
    <row r="102" spans="1:5" ht="15" customHeight="1" x14ac:dyDescent="0.25">
      <c r="A102" s="32" t="s">
        <v>146</v>
      </c>
      <c r="B102" s="32" t="s">
        <v>71</v>
      </c>
      <c r="C102" s="32">
        <v>1554.1188182020101</v>
      </c>
      <c r="D102" s="32">
        <v>1607.08</v>
      </c>
      <c r="E102" s="34" t="str">
        <f t="shared" si="1"/>
        <v>PLANT10|Jaipur</v>
      </c>
    </row>
    <row r="103" spans="1:5" ht="15" customHeight="1" x14ac:dyDescent="0.25">
      <c r="A103" s="32" t="s">
        <v>146</v>
      </c>
      <c r="B103" s="32" t="s">
        <v>72</v>
      </c>
      <c r="C103" s="32">
        <v>18988.482376632699</v>
      </c>
      <c r="D103" s="32">
        <v>559.46</v>
      </c>
      <c r="E103" s="34" t="str">
        <f t="shared" si="1"/>
        <v>PLANT10|Kochi</v>
      </c>
    </row>
    <row r="104" spans="1:5" ht="15" customHeight="1" x14ac:dyDescent="0.25">
      <c r="A104" s="32" t="s">
        <v>146</v>
      </c>
      <c r="B104" s="32" t="s">
        <v>73</v>
      </c>
      <c r="C104" s="32">
        <v>7298.3712461721198</v>
      </c>
      <c r="D104" s="32">
        <v>1358.38</v>
      </c>
      <c r="E104" s="34" t="str">
        <f t="shared" si="1"/>
        <v>PLANT10|Kolkata</v>
      </c>
    </row>
    <row r="105" spans="1:5" ht="15" customHeight="1" x14ac:dyDescent="0.25">
      <c r="A105" s="32" t="s">
        <v>146</v>
      </c>
      <c r="B105" s="32" t="s">
        <v>74</v>
      </c>
      <c r="C105" s="32">
        <v>4672.0364117134004</v>
      </c>
      <c r="D105" s="32">
        <v>1532.08</v>
      </c>
      <c r="E105" s="34" t="str">
        <f t="shared" si="1"/>
        <v>PLANT10|Lucknow</v>
      </c>
    </row>
    <row r="106" spans="1:5" ht="15" customHeight="1" x14ac:dyDescent="0.25">
      <c r="A106" s="32" t="s">
        <v>146</v>
      </c>
      <c r="B106" s="32" t="s">
        <v>75</v>
      </c>
      <c r="C106" s="32">
        <v>297.54748607064602</v>
      </c>
      <c r="D106" s="32">
        <v>1033.08</v>
      </c>
      <c r="E106" s="34" t="str">
        <f t="shared" si="1"/>
        <v>PLANT10|Mumbai</v>
      </c>
    </row>
    <row r="107" spans="1:5" ht="15" customHeight="1" x14ac:dyDescent="0.25">
      <c r="A107" s="32" t="s">
        <v>146</v>
      </c>
      <c r="B107" s="32" t="s">
        <v>76</v>
      </c>
      <c r="C107" s="32">
        <v>3937.76105977931</v>
      </c>
      <c r="D107" s="32">
        <v>905.31</v>
      </c>
      <c r="E107" s="34" t="str">
        <f t="shared" si="1"/>
        <v>PLANT10|Nagpur</v>
      </c>
    </row>
    <row r="108" spans="1:5" ht="15" customHeight="1" x14ac:dyDescent="0.25">
      <c r="A108" s="32" t="s">
        <v>146</v>
      </c>
      <c r="B108" s="32" t="s">
        <v>77</v>
      </c>
      <c r="C108" s="32">
        <v>1341.1888179498901</v>
      </c>
      <c r="D108" s="32">
        <v>914.38</v>
      </c>
      <c r="E108" s="34" t="str">
        <f t="shared" si="1"/>
        <v>PLANT10|Pune</v>
      </c>
    </row>
    <row r="109" spans="1:5" ht="15" customHeight="1" x14ac:dyDescent="0.25">
      <c r="A109" s="32" t="s">
        <v>146</v>
      </c>
      <c r="B109" s="32" t="s">
        <v>78</v>
      </c>
      <c r="C109" s="32">
        <v>49866.654462875602</v>
      </c>
      <c r="D109" s="32">
        <v>601.62</v>
      </c>
      <c r="E109" s="34" t="str">
        <f t="shared" si="1"/>
        <v>PLANT10|Visakhapatnam</v>
      </c>
    </row>
    <row r="110" spans="1:5" ht="15" customHeight="1" x14ac:dyDescent="0.25">
      <c r="A110" s="32" t="s">
        <v>50</v>
      </c>
      <c r="B110" s="32" t="s">
        <v>51</v>
      </c>
      <c r="C110" s="32">
        <v>5343.7984483899199</v>
      </c>
      <c r="D110" s="32">
        <v>703.08</v>
      </c>
      <c r="E110" s="34" t="str">
        <f t="shared" si="1"/>
        <v>PLANT07|Ahmedabad</v>
      </c>
    </row>
    <row r="111" spans="1:5" ht="15" customHeight="1" x14ac:dyDescent="0.25">
      <c r="A111" s="32" t="s">
        <v>50</v>
      </c>
      <c r="B111" s="32" t="s">
        <v>54</v>
      </c>
      <c r="C111" s="32">
        <v>6653.6143841089297</v>
      </c>
      <c r="D111" s="32">
        <v>922.69</v>
      </c>
      <c r="E111" s="34" t="str">
        <f t="shared" si="1"/>
        <v>PLANT07|Bengaluru</v>
      </c>
    </row>
    <row r="112" spans="1:5" ht="15" customHeight="1" x14ac:dyDescent="0.25">
      <c r="A112" s="32" t="s">
        <v>50</v>
      </c>
      <c r="B112" s="32" t="s">
        <v>56</v>
      </c>
      <c r="C112" s="32">
        <v>9430.8576330686792</v>
      </c>
      <c r="D112" s="32">
        <v>291.54000000000002</v>
      </c>
      <c r="E112" s="34" t="str">
        <f t="shared" si="1"/>
        <v>PLANT07|Bhopal</v>
      </c>
    </row>
    <row r="113" spans="1:5" ht="15" customHeight="1" x14ac:dyDescent="0.25">
      <c r="A113" s="32" t="s">
        <v>50</v>
      </c>
      <c r="B113" s="32" t="s">
        <v>58</v>
      </c>
      <c r="C113" s="32">
        <v>29329.459590446899</v>
      </c>
      <c r="D113" s="32">
        <v>1090.69</v>
      </c>
      <c r="E113" s="34" t="str">
        <f t="shared" si="1"/>
        <v>PLANT07|Chandigarh</v>
      </c>
    </row>
    <row r="114" spans="1:5" ht="15" customHeight="1" x14ac:dyDescent="0.25">
      <c r="A114" s="32" t="s">
        <v>50</v>
      </c>
      <c r="B114" s="32" t="s">
        <v>61</v>
      </c>
      <c r="C114" s="32">
        <v>14341.743357687499</v>
      </c>
      <c r="D114" s="32">
        <v>905.31</v>
      </c>
      <c r="E114" s="34" t="str">
        <f t="shared" si="1"/>
        <v>PLANT07|Chennai</v>
      </c>
    </row>
    <row r="115" spans="1:5" ht="15" customHeight="1" x14ac:dyDescent="0.25">
      <c r="A115" s="32" t="s">
        <v>50</v>
      </c>
      <c r="B115" s="32" t="s">
        <v>63</v>
      </c>
      <c r="C115" s="32">
        <v>16571.403311052502</v>
      </c>
      <c r="D115" s="32">
        <v>1149</v>
      </c>
      <c r="E115" s="34" t="str">
        <f t="shared" si="1"/>
        <v>PLANT07|Coimbatore</v>
      </c>
    </row>
    <row r="116" spans="1:5" ht="15" customHeight="1" x14ac:dyDescent="0.25">
      <c r="A116" s="32" t="s">
        <v>50</v>
      </c>
      <c r="B116" s="32" t="s">
        <v>65</v>
      </c>
      <c r="C116" s="32">
        <v>8622.4513590049301</v>
      </c>
      <c r="D116" s="32">
        <v>863.92</v>
      </c>
      <c r="E116" s="34" t="str">
        <f t="shared" si="1"/>
        <v>PLANT07|Delhi NCR</v>
      </c>
    </row>
    <row r="117" spans="1:5" ht="15" customHeight="1" x14ac:dyDescent="0.25">
      <c r="A117" s="32" t="s">
        <v>50</v>
      </c>
      <c r="B117" s="32" t="s">
        <v>66</v>
      </c>
      <c r="C117" s="32">
        <v>446.57233652448298</v>
      </c>
      <c r="D117" s="32">
        <v>1402.15</v>
      </c>
      <c r="E117" s="34" t="str">
        <f t="shared" si="1"/>
        <v>PLANT07|Guwahati</v>
      </c>
    </row>
    <row r="118" spans="1:5" ht="15" customHeight="1" x14ac:dyDescent="0.25">
      <c r="A118" s="32" t="s">
        <v>50</v>
      </c>
      <c r="B118" s="32" t="s">
        <v>67</v>
      </c>
      <c r="C118" s="32">
        <v>1466.2151817014101</v>
      </c>
      <c r="D118" s="32">
        <v>422.92</v>
      </c>
      <c r="E118" s="34" t="str">
        <f t="shared" si="1"/>
        <v>PLANT07|Hyderabad</v>
      </c>
    </row>
    <row r="119" spans="1:5" ht="15" customHeight="1" x14ac:dyDescent="0.25">
      <c r="A119" s="32" t="s">
        <v>50</v>
      </c>
      <c r="B119" s="32" t="s">
        <v>69</v>
      </c>
      <c r="C119" s="32">
        <v>2955.3242428547501</v>
      </c>
      <c r="D119" s="32">
        <v>376.38</v>
      </c>
      <c r="E119" s="34" t="str">
        <f t="shared" si="1"/>
        <v>PLANT07|Indore</v>
      </c>
    </row>
    <row r="120" spans="1:5" ht="15" customHeight="1" x14ac:dyDescent="0.25">
      <c r="A120" s="32" t="s">
        <v>50</v>
      </c>
      <c r="B120" s="32" t="s">
        <v>71</v>
      </c>
      <c r="C120" s="32">
        <v>1554.1188182020101</v>
      </c>
      <c r="D120" s="32">
        <v>723.46</v>
      </c>
      <c r="E120" s="34" t="str">
        <f t="shared" si="1"/>
        <v>PLANT07|Jaipur</v>
      </c>
    </row>
    <row r="121" spans="1:5" ht="15" customHeight="1" x14ac:dyDescent="0.25">
      <c r="A121" s="32" t="s">
        <v>50</v>
      </c>
      <c r="B121" s="32" t="s">
        <v>72</v>
      </c>
      <c r="C121" s="32">
        <v>18988.482376632699</v>
      </c>
      <c r="D121" s="32">
        <v>1283</v>
      </c>
      <c r="E121" s="34" t="str">
        <f t="shared" si="1"/>
        <v>PLANT07|Kochi</v>
      </c>
    </row>
    <row r="122" spans="1:5" ht="15" customHeight="1" x14ac:dyDescent="0.25">
      <c r="A122" s="32" t="s">
        <v>50</v>
      </c>
      <c r="B122" s="32" t="s">
        <v>73</v>
      </c>
      <c r="C122" s="32">
        <v>7298.3712461721198</v>
      </c>
      <c r="D122" s="32">
        <v>970.15</v>
      </c>
      <c r="E122" s="34" t="str">
        <f t="shared" si="1"/>
        <v>PLANT07|Kolkata</v>
      </c>
    </row>
    <row r="123" spans="1:5" ht="15" customHeight="1" x14ac:dyDescent="0.25">
      <c r="A123" s="32" t="s">
        <v>50</v>
      </c>
      <c r="B123" s="32" t="s">
        <v>74</v>
      </c>
      <c r="C123" s="32">
        <v>4672.0364117134004</v>
      </c>
      <c r="D123" s="32">
        <v>661.38</v>
      </c>
      <c r="E123" s="34" t="str">
        <f t="shared" si="1"/>
        <v>PLANT07|Lucknow</v>
      </c>
    </row>
    <row r="124" spans="1:5" ht="15" customHeight="1" x14ac:dyDescent="0.25">
      <c r="A124" s="32" t="s">
        <v>50</v>
      </c>
      <c r="B124" s="32" t="s">
        <v>75</v>
      </c>
      <c r="C124" s="32">
        <v>297.54748607064602</v>
      </c>
      <c r="D124" s="32">
        <v>688</v>
      </c>
      <c r="E124" s="34" t="str">
        <f t="shared" si="1"/>
        <v>PLANT07|Mumbai</v>
      </c>
    </row>
    <row r="125" spans="1:5" ht="15" customHeight="1" x14ac:dyDescent="0.25">
      <c r="A125" s="32" t="s">
        <v>50</v>
      </c>
      <c r="B125" s="32" t="s">
        <v>76</v>
      </c>
      <c r="C125" s="32">
        <v>3937.76105977931</v>
      </c>
      <c r="D125" s="32">
        <v>0</v>
      </c>
      <c r="E125" s="34" t="str">
        <f t="shared" si="1"/>
        <v>PLANT07|Nagpur</v>
      </c>
    </row>
    <row r="126" spans="1:5" ht="15" customHeight="1" x14ac:dyDescent="0.25">
      <c r="A126" s="32" t="s">
        <v>50</v>
      </c>
      <c r="B126" s="32" t="s">
        <v>77</v>
      </c>
      <c r="C126" s="32">
        <v>1341.1888179498901</v>
      </c>
      <c r="D126" s="32">
        <v>620.15</v>
      </c>
      <c r="E126" s="34" t="str">
        <f t="shared" si="1"/>
        <v>PLANT07|Pune</v>
      </c>
    </row>
    <row r="127" spans="1:5" ht="15" customHeight="1" x14ac:dyDescent="0.25">
      <c r="A127" s="32" t="s">
        <v>50</v>
      </c>
      <c r="B127" s="32" t="s">
        <v>78</v>
      </c>
      <c r="C127" s="32">
        <v>49866.654462875602</v>
      </c>
      <c r="D127" s="32">
        <v>579.23</v>
      </c>
      <c r="E127" s="34" t="str">
        <f t="shared" si="1"/>
        <v>PLANT07|Visakhapatnam</v>
      </c>
    </row>
    <row r="128" spans="1:5" ht="15" customHeight="1" x14ac:dyDescent="0.25">
      <c r="A128" s="32" t="s">
        <v>150</v>
      </c>
      <c r="B128" s="32" t="s">
        <v>51</v>
      </c>
      <c r="C128" s="32">
        <v>5343.7984483899199</v>
      </c>
      <c r="D128" s="32">
        <v>1413.69</v>
      </c>
      <c r="E128" s="34" t="str">
        <f t="shared" si="1"/>
        <v>PLANT14|Ahmedabad</v>
      </c>
    </row>
    <row r="129" spans="1:5" ht="15" customHeight="1" x14ac:dyDescent="0.25">
      <c r="A129" s="32" t="s">
        <v>150</v>
      </c>
      <c r="B129" s="32" t="s">
        <v>54</v>
      </c>
      <c r="C129" s="32">
        <v>6653.6143841089297</v>
      </c>
      <c r="D129" s="32">
        <v>228.23</v>
      </c>
      <c r="E129" s="34" t="str">
        <f t="shared" si="1"/>
        <v>PLANT14|Bengaluru</v>
      </c>
    </row>
    <row r="130" spans="1:5" ht="15" customHeight="1" x14ac:dyDescent="0.25">
      <c r="A130" s="32" t="s">
        <v>150</v>
      </c>
      <c r="B130" s="32" t="s">
        <v>56</v>
      </c>
      <c r="C130" s="32">
        <v>9430.8576330686792</v>
      </c>
      <c r="D130" s="32">
        <v>1362.23</v>
      </c>
      <c r="E130" s="34" t="str">
        <f t="shared" ref="E130:E193" si="2">A130&amp;"|"&amp;B130</f>
        <v>PLANT14|Bhopal</v>
      </c>
    </row>
    <row r="131" spans="1:5" ht="15" customHeight="1" x14ac:dyDescent="0.25">
      <c r="A131" s="32" t="s">
        <v>150</v>
      </c>
      <c r="B131" s="32" t="s">
        <v>58</v>
      </c>
      <c r="C131" s="32">
        <v>29329.459590446899</v>
      </c>
      <c r="D131" s="32">
        <v>2192.46</v>
      </c>
      <c r="E131" s="34" t="str">
        <f t="shared" si="2"/>
        <v>PLANT14|Chandigarh</v>
      </c>
    </row>
    <row r="132" spans="1:5" ht="15" customHeight="1" x14ac:dyDescent="0.25">
      <c r="A132" s="32" t="s">
        <v>150</v>
      </c>
      <c r="B132" s="32" t="s">
        <v>61</v>
      </c>
      <c r="C132" s="32">
        <v>14341.743357687499</v>
      </c>
      <c r="D132" s="32">
        <v>427.46</v>
      </c>
      <c r="E132" s="34" t="str">
        <f t="shared" si="2"/>
        <v>PLANT14|Chennai</v>
      </c>
    </row>
    <row r="133" spans="1:5" ht="15" customHeight="1" x14ac:dyDescent="0.25">
      <c r="A133" s="32" t="s">
        <v>150</v>
      </c>
      <c r="B133" s="32" t="s">
        <v>63</v>
      </c>
      <c r="C133" s="32">
        <v>16571.403311052502</v>
      </c>
      <c r="D133" s="32">
        <v>0</v>
      </c>
      <c r="E133" s="34" t="str">
        <f t="shared" si="2"/>
        <v>PLANT14|Coimbatore</v>
      </c>
    </row>
    <row r="134" spans="1:5" ht="15" customHeight="1" x14ac:dyDescent="0.25">
      <c r="A134" s="32" t="s">
        <v>150</v>
      </c>
      <c r="B134" s="32" t="s">
        <v>65</v>
      </c>
      <c r="C134" s="32">
        <v>8622.4513590049301</v>
      </c>
      <c r="D134" s="32">
        <v>1966.77</v>
      </c>
      <c r="E134" s="34" t="str">
        <f t="shared" si="2"/>
        <v>PLANT14|Delhi NCR</v>
      </c>
    </row>
    <row r="135" spans="1:5" ht="15" customHeight="1" x14ac:dyDescent="0.25">
      <c r="A135" s="32" t="s">
        <v>150</v>
      </c>
      <c r="B135" s="32" t="s">
        <v>66</v>
      </c>
      <c r="C135" s="32">
        <v>446.57233652448298</v>
      </c>
      <c r="D135" s="32">
        <v>2288.23</v>
      </c>
      <c r="E135" s="34" t="str">
        <f t="shared" si="2"/>
        <v>PLANT14|Guwahati</v>
      </c>
    </row>
    <row r="136" spans="1:5" ht="15" customHeight="1" x14ac:dyDescent="0.25">
      <c r="A136" s="32" t="s">
        <v>150</v>
      </c>
      <c r="B136" s="32" t="s">
        <v>67</v>
      </c>
      <c r="C136" s="32">
        <v>1466.2151817014101</v>
      </c>
      <c r="D136" s="32">
        <v>727.08</v>
      </c>
      <c r="E136" s="34" t="str">
        <f t="shared" si="2"/>
        <v>PLANT14|Hyderabad</v>
      </c>
    </row>
    <row r="137" spans="1:5" ht="15" customHeight="1" x14ac:dyDescent="0.25">
      <c r="A137" s="32" t="s">
        <v>150</v>
      </c>
      <c r="B137" s="32" t="s">
        <v>69</v>
      </c>
      <c r="C137" s="32">
        <v>2955.3242428547501</v>
      </c>
      <c r="D137" s="32">
        <v>1306.54</v>
      </c>
      <c r="E137" s="34" t="str">
        <f t="shared" si="2"/>
        <v>PLANT14|Indore</v>
      </c>
    </row>
    <row r="138" spans="1:5" ht="15" customHeight="1" x14ac:dyDescent="0.25">
      <c r="A138" s="32" t="s">
        <v>150</v>
      </c>
      <c r="B138" s="32" t="s">
        <v>71</v>
      </c>
      <c r="C138" s="32">
        <v>1554.1188182020101</v>
      </c>
      <c r="D138" s="32">
        <v>1771.77</v>
      </c>
      <c r="E138" s="34" t="str">
        <f t="shared" si="2"/>
        <v>PLANT14|Jaipur</v>
      </c>
    </row>
    <row r="139" spans="1:5" ht="15" customHeight="1" x14ac:dyDescent="0.25">
      <c r="A139" s="32" t="s">
        <v>150</v>
      </c>
      <c r="B139" s="32" t="s">
        <v>72</v>
      </c>
      <c r="C139" s="32">
        <v>18988.482376632699</v>
      </c>
      <c r="D139" s="32">
        <v>142.22999999999999</v>
      </c>
      <c r="E139" s="34" t="str">
        <f t="shared" si="2"/>
        <v>PLANT14|Kochi</v>
      </c>
    </row>
    <row r="140" spans="1:5" ht="15" customHeight="1" x14ac:dyDescent="0.25">
      <c r="A140" s="32" t="s">
        <v>150</v>
      </c>
      <c r="B140" s="32" t="s">
        <v>73</v>
      </c>
      <c r="C140" s="32">
        <v>7298.3712461721198</v>
      </c>
      <c r="D140" s="32">
        <v>1766.08</v>
      </c>
      <c r="E140" s="34" t="str">
        <f t="shared" si="2"/>
        <v>PLANT14|Kolkata</v>
      </c>
    </row>
    <row r="141" spans="1:5" ht="15" customHeight="1" x14ac:dyDescent="0.25">
      <c r="A141" s="32" t="s">
        <v>150</v>
      </c>
      <c r="B141" s="32" t="s">
        <v>74</v>
      </c>
      <c r="C141" s="32">
        <v>4672.0364117134004</v>
      </c>
      <c r="D141" s="32">
        <v>1809.15</v>
      </c>
      <c r="E141" s="34" t="str">
        <f t="shared" si="2"/>
        <v>PLANT14|Lucknow</v>
      </c>
    </row>
    <row r="142" spans="1:5" ht="15" customHeight="1" x14ac:dyDescent="0.25">
      <c r="A142" s="32" t="s">
        <v>150</v>
      </c>
      <c r="B142" s="32" t="s">
        <v>75</v>
      </c>
      <c r="C142" s="32">
        <v>297.54748607064602</v>
      </c>
      <c r="D142" s="32">
        <v>997.23</v>
      </c>
      <c r="E142" s="34" t="str">
        <f t="shared" si="2"/>
        <v>PLANT14|Mumbai</v>
      </c>
    </row>
    <row r="143" spans="1:5" ht="15" customHeight="1" x14ac:dyDescent="0.25">
      <c r="A143" s="32" t="s">
        <v>150</v>
      </c>
      <c r="B143" s="32" t="s">
        <v>76</v>
      </c>
      <c r="C143" s="32">
        <v>3937.76105977931</v>
      </c>
      <c r="D143" s="32">
        <v>1149</v>
      </c>
      <c r="E143" s="34" t="str">
        <f t="shared" si="2"/>
        <v>PLANT14|Nagpur</v>
      </c>
    </row>
    <row r="144" spans="1:5" ht="15" customHeight="1" x14ac:dyDescent="0.25">
      <c r="A144" s="32" t="s">
        <v>150</v>
      </c>
      <c r="B144" s="32" t="s">
        <v>77</v>
      </c>
      <c r="C144" s="32">
        <v>1341.1888179498901</v>
      </c>
      <c r="D144" s="32">
        <v>898.31</v>
      </c>
      <c r="E144" s="34" t="str">
        <f t="shared" si="2"/>
        <v>PLANT14|Pune</v>
      </c>
    </row>
    <row r="145" spans="1:5" ht="15" customHeight="1" x14ac:dyDescent="0.25">
      <c r="A145" s="32" t="s">
        <v>150</v>
      </c>
      <c r="B145" s="32" t="s">
        <v>78</v>
      </c>
      <c r="C145" s="32">
        <v>49866.654462875602</v>
      </c>
      <c r="D145" s="32">
        <v>1002.31</v>
      </c>
      <c r="E145" s="34" t="str">
        <f t="shared" si="2"/>
        <v>PLANT14|Visakhapatnam</v>
      </c>
    </row>
    <row r="146" spans="1:5" ht="15" customHeight="1" x14ac:dyDescent="0.25">
      <c r="A146" s="32" t="s">
        <v>106</v>
      </c>
      <c r="B146" s="32" t="s">
        <v>51</v>
      </c>
      <c r="C146" s="32">
        <v>5343.7984483899199</v>
      </c>
      <c r="D146" s="32">
        <v>1507.77</v>
      </c>
      <c r="E146" s="34" t="str">
        <f t="shared" si="2"/>
        <v>PLANT16|Ahmedabad</v>
      </c>
    </row>
    <row r="147" spans="1:5" ht="15" customHeight="1" x14ac:dyDescent="0.25">
      <c r="A147" s="32" t="s">
        <v>106</v>
      </c>
      <c r="B147" s="32" t="s">
        <v>54</v>
      </c>
      <c r="C147" s="32">
        <v>6653.6143841089297</v>
      </c>
      <c r="D147" s="32">
        <v>367.69</v>
      </c>
      <c r="E147" s="34" t="str">
        <f t="shared" si="2"/>
        <v>PLANT16|Bengaluru</v>
      </c>
    </row>
    <row r="148" spans="1:5" ht="15" customHeight="1" x14ac:dyDescent="0.25">
      <c r="A148" s="32" t="s">
        <v>106</v>
      </c>
      <c r="B148" s="32" t="s">
        <v>56</v>
      </c>
      <c r="C148" s="32">
        <v>9430.8576330686792</v>
      </c>
      <c r="D148" s="32">
        <v>1487.08</v>
      </c>
      <c r="E148" s="34" t="str">
        <f t="shared" si="2"/>
        <v>PLANT16|Bhopal</v>
      </c>
    </row>
    <row r="149" spans="1:5" ht="15" customHeight="1" x14ac:dyDescent="0.25">
      <c r="A149" s="32" t="s">
        <v>106</v>
      </c>
      <c r="B149" s="32" t="s">
        <v>58</v>
      </c>
      <c r="C149" s="32">
        <v>29329.459590446899</v>
      </c>
      <c r="D149" s="32">
        <v>2313.69</v>
      </c>
      <c r="E149" s="34" t="str">
        <f t="shared" si="2"/>
        <v>PLANT16|Chandigarh</v>
      </c>
    </row>
    <row r="150" spans="1:5" ht="15" customHeight="1" x14ac:dyDescent="0.25">
      <c r="A150" s="32" t="s">
        <v>106</v>
      </c>
      <c r="B150" s="32" t="s">
        <v>61</v>
      </c>
      <c r="C150" s="32">
        <v>14341.743357687499</v>
      </c>
      <c r="D150" s="32">
        <v>559.46</v>
      </c>
      <c r="E150" s="34" t="str">
        <f t="shared" si="2"/>
        <v>PLANT16|Chennai</v>
      </c>
    </row>
    <row r="151" spans="1:5" ht="15" customHeight="1" x14ac:dyDescent="0.25">
      <c r="A151" s="32" t="s">
        <v>106</v>
      </c>
      <c r="B151" s="32" t="s">
        <v>63</v>
      </c>
      <c r="C151" s="32">
        <v>16571.403311052502</v>
      </c>
      <c r="D151" s="32">
        <v>142.22999999999999</v>
      </c>
      <c r="E151" s="34" t="str">
        <f t="shared" si="2"/>
        <v>PLANT16|Coimbatore</v>
      </c>
    </row>
    <row r="152" spans="1:5" ht="15" customHeight="1" x14ac:dyDescent="0.25">
      <c r="A152" s="32" t="s">
        <v>106</v>
      </c>
      <c r="B152" s="32" t="s">
        <v>65</v>
      </c>
      <c r="C152" s="32">
        <v>8622.4513590049301</v>
      </c>
      <c r="D152" s="32">
        <v>2089.23</v>
      </c>
      <c r="E152" s="34" t="str">
        <f t="shared" si="2"/>
        <v>PLANT16|Delhi NCR</v>
      </c>
    </row>
    <row r="153" spans="1:5" ht="15" customHeight="1" x14ac:dyDescent="0.25">
      <c r="A153" s="32" t="s">
        <v>106</v>
      </c>
      <c r="B153" s="32" t="s">
        <v>66</v>
      </c>
      <c r="C153" s="32">
        <v>446.57233652448298</v>
      </c>
      <c r="D153" s="32">
        <v>2429</v>
      </c>
      <c r="E153" s="34" t="str">
        <f t="shared" si="2"/>
        <v>PLANT16|Guwahati</v>
      </c>
    </row>
    <row r="154" spans="1:5" ht="15" customHeight="1" x14ac:dyDescent="0.25">
      <c r="A154" s="32" t="s">
        <v>106</v>
      </c>
      <c r="B154" s="32" t="s">
        <v>67</v>
      </c>
      <c r="C154" s="32">
        <v>1466.2151817014101</v>
      </c>
      <c r="D154" s="32">
        <v>862.77</v>
      </c>
      <c r="E154" s="34" t="str">
        <f t="shared" si="2"/>
        <v>PLANT16|Hyderabad</v>
      </c>
    </row>
    <row r="155" spans="1:5" ht="15" customHeight="1" x14ac:dyDescent="0.25">
      <c r="A155" s="32" t="s">
        <v>106</v>
      </c>
      <c r="B155" s="32" t="s">
        <v>69</v>
      </c>
      <c r="C155" s="32">
        <v>2955.3242428547501</v>
      </c>
      <c r="D155" s="32">
        <v>1422.69</v>
      </c>
      <c r="E155" s="34" t="str">
        <f t="shared" si="2"/>
        <v>PLANT16|Indore</v>
      </c>
    </row>
    <row r="156" spans="1:5" ht="15" customHeight="1" x14ac:dyDescent="0.25">
      <c r="A156" s="32" t="s">
        <v>106</v>
      </c>
      <c r="B156" s="32" t="s">
        <v>71</v>
      </c>
      <c r="C156" s="32">
        <v>1554.1188182020101</v>
      </c>
      <c r="D156" s="32">
        <v>1888.92</v>
      </c>
      <c r="E156" s="34" t="str">
        <f t="shared" si="2"/>
        <v>PLANT16|Jaipur</v>
      </c>
    </row>
    <row r="157" spans="1:5" ht="15" customHeight="1" x14ac:dyDescent="0.25">
      <c r="A157" s="32" t="s">
        <v>106</v>
      </c>
      <c r="B157" s="32" t="s">
        <v>72</v>
      </c>
      <c r="C157" s="32">
        <v>18988.482376632699</v>
      </c>
      <c r="D157" s="32">
        <v>0</v>
      </c>
      <c r="E157" s="34" t="str">
        <f t="shared" si="2"/>
        <v>PLANT16|Kochi</v>
      </c>
    </row>
    <row r="158" spans="1:5" ht="15" customHeight="1" x14ac:dyDescent="0.25">
      <c r="A158" s="32" t="s">
        <v>106</v>
      </c>
      <c r="B158" s="32" t="s">
        <v>73</v>
      </c>
      <c r="C158" s="32">
        <v>7298.3712461721198</v>
      </c>
      <c r="D158" s="32">
        <v>1906.38</v>
      </c>
      <c r="E158" s="34" t="str">
        <f t="shared" si="2"/>
        <v>PLANT16|Kolkata</v>
      </c>
    </row>
    <row r="159" spans="1:5" ht="15" customHeight="1" x14ac:dyDescent="0.25">
      <c r="A159" s="32" t="s">
        <v>106</v>
      </c>
      <c r="B159" s="32" t="s">
        <v>74</v>
      </c>
      <c r="C159" s="32">
        <v>4672.0364117134004</v>
      </c>
      <c r="D159" s="32">
        <v>1944</v>
      </c>
      <c r="E159" s="34" t="str">
        <f t="shared" si="2"/>
        <v>PLANT16|Lucknow</v>
      </c>
    </row>
    <row r="160" spans="1:5" ht="15" customHeight="1" x14ac:dyDescent="0.25">
      <c r="A160" s="32" t="s">
        <v>106</v>
      </c>
      <c r="B160" s="32" t="s">
        <v>75</v>
      </c>
      <c r="C160" s="32">
        <v>297.54748607064602</v>
      </c>
      <c r="D160" s="32">
        <v>1080.1500000000001</v>
      </c>
      <c r="E160" s="34" t="str">
        <f t="shared" si="2"/>
        <v>PLANT16|Mumbai</v>
      </c>
    </row>
    <row r="161" spans="1:5" ht="15" customHeight="1" x14ac:dyDescent="0.25">
      <c r="A161" s="32" t="s">
        <v>106</v>
      </c>
      <c r="B161" s="32" t="s">
        <v>76</v>
      </c>
      <c r="C161" s="32">
        <v>3937.76105977931</v>
      </c>
      <c r="D161" s="32">
        <v>1283</v>
      </c>
      <c r="E161" s="34" t="str">
        <f t="shared" si="2"/>
        <v>PLANT16|Nagpur</v>
      </c>
    </row>
    <row r="162" spans="1:5" ht="15" customHeight="1" x14ac:dyDescent="0.25">
      <c r="A162" s="32" t="s">
        <v>106</v>
      </c>
      <c r="B162" s="32" t="s">
        <v>77</v>
      </c>
      <c r="C162" s="32">
        <v>1341.1888179498901</v>
      </c>
      <c r="D162" s="32">
        <v>989.69</v>
      </c>
      <c r="E162" s="34" t="str">
        <f t="shared" si="2"/>
        <v>PLANT16|Pune</v>
      </c>
    </row>
    <row r="163" spans="1:5" ht="15" customHeight="1" x14ac:dyDescent="0.25">
      <c r="A163" s="32" t="s">
        <v>106</v>
      </c>
      <c r="B163" s="32" t="s">
        <v>78</v>
      </c>
      <c r="C163" s="32">
        <v>49866.654462875602</v>
      </c>
      <c r="D163" s="32">
        <v>1142.8499999999999</v>
      </c>
      <c r="E163" s="34" t="str">
        <f t="shared" si="2"/>
        <v>PLANT16|Visakhapatnam</v>
      </c>
    </row>
    <row r="164" spans="1:5" ht="15" customHeight="1" x14ac:dyDescent="0.25">
      <c r="A164" s="32" t="s">
        <v>148</v>
      </c>
      <c r="B164" s="32" t="s">
        <v>51</v>
      </c>
      <c r="C164" s="32">
        <v>5343.7984483899199</v>
      </c>
      <c r="D164" s="32">
        <v>1237.08</v>
      </c>
      <c r="E164" s="34" t="str">
        <f t="shared" si="2"/>
        <v>PLANT12|Ahmedabad</v>
      </c>
    </row>
    <row r="165" spans="1:5" ht="15" customHeight="1" x14ac:dyDescent="0.25">
      <c r="A165" s="32" t="s">
        <v>148</v>
      </c>
      <c r="B165" s="32" t="s">
        <v>54</v>
      </c>
      <c r="C165" s="32">
        <v>6653.6143841089297</v>
      </c>
      <c r="D165" s="32">
        <v>0</v>
      </c>
      <c r="E165" s="34" t="str">
        <f t="shared" si="2"/>
        <v>PLANT12|Bengaluru</v>
      </c>
    </row>
    <row r="166" spans="1:5" ht="15" customHeight="1" x14ac:dyDescent="0.25">
      <c r="A166" s="32" t="s">
        <v>148</v>
      </c>
      <c r="B166" s="32" t="s">
        <v>56</v>
      </c>
      <c r="C166" s="32">
        <v>9430.8576330686792</v>
      </c>
      <c r="D166" s="32">
        <v>1144.1500000000001</v>
      </c>
      <c r="E166" s="34" t="str">
        <f t="shared" si="2"/>
        <v>PLANT12|Bhopal</v>
      </c>
    </row>
    <row r="167" spans="1:5" ht="15" customHeight="1" x14ac:dyDescent="0.25">
      <c r="A167" s="32" t="s">
        <v>148</v>
      </c>
      <c r="B167" s="32" t="s">
        <v>58</v>
      </c>
      <c r="C167" s="32">
        <v>29329.459590446899</v>
      </c>
      <c r="D167" s="32">
        <v>1976.77</v>
      </c>
      <c r="E167" s="34" t="str">
        <f t="shared" si="2"/>
        <v>PLANT12|Chandigarh</v>
      </c>
    </row>
    <row r="168" spans="1:5" ht="15" customHeight="1" x14ac:dyDescent="0.25">
      <c r="A168" s="32" t="s">
        <v>148</v>
      </c>
      <c r="B168" s="32" t="s">
        <v>61</v>
      </c>
      <c r="C168" s="32">
        <v>14341.743357687499</v>
      </c>
      <c r="D168" s="32">
        <v>290.14999999999998</v>
      </c>
      <c r="E168" s="34" t="str">
        <f t="shared" si="2"/>
        <v>PLANT12|Chennai</v>
      </c>
    </row>
    <row r="169" spans="1:5" ht="15" customHeight="1" x14ac:dyDescent="0.25">
      <c r="A169" s="32" t="s">
        <v>148</v>
      </c>
      <c r="B169" s="32" t="s">
        <v>63</v>
      </c>
      <c r="C169" s="32">
        <v>16571.403311052502</v>
      </c>
      <c r="D169" s="32">
        <v>228.23</v>
      </c>
      <c r="E169" s="34" t="str">
        <f t="shared" si="2"/>
        <v>PLANT12|Coimbatore</v>
      </c>
    </row>
    <row r="170" spans="1:5" ht="15" customHeight="1" x14ac:dyDescent="0.25">
      <c r="A170" s="32" t="s">
        <v>148</v>
      </c>
      <c r="B170" s="32" t="s">
        <v>65</v>
      </c>
      <c r="C170" s="32">
        <v>8622.4513590049301</v>
      </c>
      <c r="D170" s="32">
        <v>1750.08</v>
      </c>
      <c r="E170" s="34" t="str">
        <f t="shared" si="2"/>
        <v>PLANT12|Delhi NCR</v>
      </c>
    </row>
    <row r="171" spans="1:5" ht="15" customHeight="1" x14ac:dyDescent="0.25">
      <c r="A171" s="32" t="s">
        <v>148</v>
      </c>
      <c r="B171" s="32" t="s">
        <v>66</v>
      </c>
      <c r="C171" s="32">
        <v>446.57233652448298</v>
      </c>
      <c r="D171" s="32">
        <v>2080</v>
      </c>
      <c r="E171" s="34" t="str">
        <f t="shared" si="2"/>
        <v>PLANT12|Guwahati</v>
      </c>
    </row>
    <row r="172" spans="1:5" ht="15" customHeight="1" x14ac:dyDescent="0.25">
      <c r="A172" s="32" t="s">
        <v>148</v>
      </c>
      <c r="B172" s="32" t="s">
        <v>67</v>
      </c>
      <c r="C172" s="32">
        <v>1466.2151817014101</v>
      </c>
      <c r="D172" s="32">
        <v>500</v>
      </c>
      <c r="E172" s="34" t="str">
        <f t="shared" si="2"/>
        <v>PLANT12|Hyderabad</v>
      </c>
    </row>
    <row r="173" spans="1:5" ht="15" customHeight="1" x14ac:dyDescent="0.25">
      <c r="A173" s="32" t="s">
        <v>148</v>
      </c>
      <c r="B173" s="32" t="s">
        <v>69</v>
      </c>
      <c r="C173" s="32">
        <v>2955.3242428547501</v>
      </c>
      <c r="D173" s="32">
        <v>1099.3800000000001</v>
      </c>
      <c r="E173" s="34" t="str">
        <f t="shared" si="2"/>
        <v>PLANT12|Indore</v>
      </c>
    </row>
    <row r="174" spans="1:5" ht="15" customHeight="1" x14ac:dyDescent="0.25">
      <c r="A174" s="32" t="s">
        <v>148</v>
      </c>
      <c r="B174" s="32" t="s">
        <v>71</v>
      </c>
      <c r="C174" s="32">
        <v>1554.1188182020101</v>
      </c>
      <c r="D174" s="32">
        <v>1561.54</v>
      </c>
      <c r="E174" s="34" t="str">
        <f t="shared" si="2"/>
        <v>PLANT12|Jaipur</v>
      </c>
    </row>
    <row r="175" spans="1:5" ht="15" customHeight="1" x14ac:dyDescent="0.25">
      <c r="A175" s="32" t="s">
        <v>148</v>
      </c>
      <c r="B175" s="32" t="s">
        <v>72</v>
      </c>
      <c r="C175" s="32">
        <v>18988.482376632699</v>
      </c>
      <c r="D175" s="32">
        <v>367.69</v>
      </c>
      <c r="E175" s="34" t="str">
        <f t="shared" si="2"/>
        <v>PLANT12|Kochi</v>
      </c>
    </row>
    <row r="176" spans="1:5" ht="15" customHeight="1" x14ac:dyDescent="0.25">
      <c r="A176" s="32" t="s">
        <v>148</v>
      </c>
      <c r="B176" s="32" t="s">
        <v>73</v>
      </c>
      <c r="C176" s="32">
        <v>7298.3712461721198</v>
      </c>
      <c r="D176" s="32">
        <v>1560.69</v>
      </c>
      <c r="E176" s="34" t="str">
        <f t="shared" si="2"/>
        <v>PLANT12|Kolkata</v>
      </c>
    </row>
    <row r="177" spans="1:5" ht="15" customHeight="1" x14ac:dyDescent="0.25">
      <c r="A177" s="32" t="s">
        <v>148</v>
      </c>
      <c r="B177" s="32" t="s">
        <v>74</v>
      </c>
      <c r="C177" s="32">
        <v>4672.0364117134004</v>
      </c>
      <c r="D177" s="32">
        <v>1581.85</v>
      </c>
      <c r="E177" s="34" t="str">
        <f t="shared" si="2"/>
        <v>PLANT12|Lucknow</v>
      </c>
    </row>
    <row r="178" spans="1:5" ht="15" customHeight="1" x14ac:dyDescent="0.25">
      <c r="A178" s="32" t="s">
        <v>148</v>
      </c>
      <c r="B178" s="32" t="s">
        <v>75</v>
      </c>
      <c r="C178" s="32">
        <v>297.54748607064602</v>
      </c>
      <c r="D178" s="32">
        <v>845.31</v>
      </c>
      <c r="E178" s="34" t="str">
        <f t="shared" si="2"/>
        <v>PLANT12|Mumbai</v>
      </c>
    </row>
    <row r="179" spans="1:5" ht="15" customHeight="1" x14ac:dyDescent="0.25">
      <c r="A179" s="32" t="s">
        <v>148</v>
      </c>
      <c r="B179" s="32" t="s">
        <v>76</v>
      </c>
      <c r="C179" s="32">
        <v>3937.76105977931</v>
      </c>
      <c r="D179" s="32">
        <v>922.69</v>
      </c>
      <c r="E179" s="34" t="str">
        <f t="shared" si="2"/>
        <v>PLANT12|Nagpur</v>
      </c>
    </row>
    <row r="180" spans="1:5" ht="15" customHeight="1" x14ac:dyDescent="0.25">
      <c r="A180" s="32" t="s">
        <v>148</v>
      </c>
      <c r="B180" s="32" t="s">
        <v>77</v>
      </c>
      <c r="C180" s="32">
        <v>1341.1888179498901</v>
      </c>
      <c r="D180" s="32">
        <v>735.23</v>
      </c>
      <c r="E180" s="34" t="str">
        <f t="shared" si="2"/>
        <v>PLANT12|Pune</v>
      </c>
    </row>
    <row r="181" spans="1:5" ht="15" customHeight="1" x14ac:dyDescent="0.25">
      <c r="A181" s="32" t="s">
        <v>148</v>
      </c>
      <c r="B181" s="32" t="s">
        <v>78</v>
      </c>
      <c r="C181" s="32">
        <v>49866.654462875602</v>
      </c>
      <c r="D181" s="32">
        <v>799</v>
      </c>
      <c r="E181" s="34" t="str">
        <f t="shared" si="2"/>
        <v>PLANT12|Visakhapatnam</v>
      </c>
    </row>
    <row r="182" spans="1:5" ht="15" customHeight="1" x14ac:dyDescent="0.25">
      <c r="A182" s="32" t="s">
        <v>147</v>
      </c>
      <c r="B182" s="32" t="s">
        <v>51</v>
      </c>
      <c r="C182" s="32">
        <v>5343.7984483899199</v>
      </c>
      <c r="D182" s="32">
        <v>945.08</v>
      </c>
      <c r="E182" s="34" t="str">
        <f t="shared" si="2"/>
        <v>PLANT11|Ahmedabad</v>
      </c>
    </row>
    <row r="183" spans="1:5" ht="15" customHeight="1" x14ac:dyDescent="0.25">
      <c r="A183" s="32" t="s">
        <v>147</v>
      </c>
      <c r="B183" s="32" t="s">
        <v>54</v>
      </c>
      <c r="C183" s="32">
        <v>6653.6143841089297</v>
      </c>
      <c r="D183" s="32">
        <v>1581.85</v>
      </c>
      <c r="E183" s="34" t="str">
        <f t="shared" si="2"/>
        <v>PLANT11|Bengaluru</v>
      </c>
    </row>
    <row r="184" spans="1:5" ht="15" customHeight="1" x14ac:dyDescent="0.25">
      <c r="A184" s="32" t="s">
        <v>147</v>
      </c>
      <c r="B184" s="32" t="s">
        <v>56</v>
      </c>
      <c r="C184" s="32">
        <v>9430.8576330686792</v>
      </c>
      <c r="D184" s="32">
        <v>534.54</v>
      </c>
      <c r="E184" s="34" t="str">
        <f t="shared" si="2"/>
        <v>PLANT11|Bhopal</v>
      </c>
    </row>
    <row r="185" spans="1:5" ht="15" customHeight="1" x14ac:dyDescent="0.25">
      <c r="A185" s="32" t="s">
        <v>147</v>
      </c>
      <c r="B185" s="32" t="s">
        <v>58</v>
      </c>
      <c r="C185" s="32">
        <v>29329.459590446899</v>
      </c>
      <c r="D185" s="32">
        <v>592.91999999999996</v>
      </c>
      <c r="E185" s="34" t="str">
        <f t="shared" si="2"/>
        <v>PLANT11|Chandigarh</v>
      </c>
    </row>
    <row r="186" spans="1:5" ht="15" customHeight="1" x14ac:dyDescent="0.25">
      <c r="A186" s="32" t="s">
        <v>147</v>
      </c>
      <c r="B186" s="32" t="s">
        <v>61</v>
      </c>
      <c r="C186" s="32">
        <v>14341.743357687499</v>
      </c>
      <c r="D186" s="32">
        <v>1532.08</v>
      </c>
      <c r="E186" s="34" t="str">
        <f t="shared" si="2"/>
        <v>PLANT11|Chennai</v>
      </c>
    </row>
    <row r="187" spans="1:5" ht="15" customHeight="1" x14ac:dyDescent="0.25">
      <c r="A187" s="32" t="s">
        <v>147</v>
      </c>
      <c r="B187" s="32" t="s">
        <v>63</v>
      </c>
      <c r="C187" s="32">
        <v>16571.403311052502</v>
      </c>
      <c r="D187" s="32">
        <v>1809.15</v>
      </c>
      <c r="E187" s="34" t="str">
        <f t="shared" si="2"/>
        <v>PLANT11|Coimbatore</v>
      </c>
    </row>
    <row r="188" spans="1:5" ht="15" customHeight="1" x14ac:dyDescent="0.25">
      <c r="A188" s="32" t="s">
        <v>147</v>
      </c>
      <c r="B188" s="32" t="s">
        <v>65</v>
      </c>
      <c r="C188" s="32">
        <v>8622.4513590049301</v>
      </c>
      <c r="D188" s="32">
        <v>430.85</v>
      </c>
      <c r="E188" s="34" t="str">
        <f t="shared" si="2"/>
        <v>PLANT11|Delhi NCR</v>
      </c>
    </row>
    <row r="189" spans="1:5" ht="15" customHeight="1" x14ac:dyDescent="0.25">
      <c r="A189" s="32" t="s">
        <v>147</v>
      </c>
      <c r="B189" s="32" t="s">
        <v>66</v>
      </c>
      <c r="C189" s="32">
        <v>446.57233652448298</v>
      </c>
      <c r="D189" s="32">
        <v>1076.31</v>
      </c>
      <c r="E189" s="34" t="str">
        <f t="shared" si="2"/>
        <v>PLANT11|Guwahati</v>
      </c>
    </row>
    <row r="190" spans="1:5" ht="15" customHeight="1" x14ac:dyDescent="0.25">
      <c r="A190" s="32" t="s">
        <v>147</v>
      </c>
      <c r="B190" s="32" t="s">
        <v>67</v>
      </c>
      <c r="C190" s="32">
        <v>1466.2151817014101</v>
      </c>
      <c r="D190" s="32">
        <v>1082.08</v>
      </c>
      <c r="E190" s="34" t="str">
        <f t="shared" si="2"/>
        <v>PLANT11|Hyderabad</v>
      </c>
    </row>
    <row r="191" spans="1:5" ht="15" customHeight="1" x14ac:dyDescent="0.25">
      <c r="A191" s="32" t="s">
        <v>147</v>
      </c>
      <c r="B191" s="32" t="s">
        <v>69</v>
      </c>
      <c r="C191" s="32">
        <v>2955.3242428547501</v>
      </c>
      <c r="D191" s="32">
        <v>688.69</v>
      </c>
      <c r="E191" s="34" t="str">
        <f t="shared" si="2"/>
        <v>PLANT11|Indore</v>
      </c>
    </row>
    <row r="192" spans="1:5" ht="15" customHeight="1" x14ac:dyDescent="0.25">
      <c r="A192" s="32" t="s">
        <v>147</v>
      </c>
      <c r="B192" s="32" t="s">
        <v>71</v>
      </c>
      <c r="C192" s="32">
        <v>1554.1188182020101</v>
      </c>
      <c r="D192" s="32">
        <v>511.69</v>
      </c>
      <c r="E192" s="34" t="str">
        <f t="shared" si="2"/>
        <v>PLANT11|Jaipur</v>
      </c>
    </row>
    <row r="193" spans="1:5" ht="15" customHeight="1" x14ac:dyDescent="0.25">
      <c r="A193" s="32" t="s">
        <v>147</v>
      </c>
      <c r="B193" s="32" t="s">
        <v>72</v>
      </c>
      <c r="C193" s="32">
        <v>18988.482376632699</v>
      </c>
      <c r="D193" s="32">
        <v>1944</v>
      </c>
      <c r="E193" s="34" t="str">
        <f t="shared" si="2"/>
        <v>PLANT11|Kochi</v>
      </c>
    </row>
    <row r="194" spans="1:5" ht="15" customHeight="1" x14ac:dyDescent="0.25">
      <c r="A194" s="32" t="s">
        <v>147</v>
      </c>
      <c r="B194" s="32" t="s">
        <v>73</v>
      </c>
      <c r="C194" s="32">
        <v>7298.3712461721198</v>
      </c>
      <c r="D194" s="32">
        <v>887</v>
      </c>
      <c r="E194" s="34" t="str">
        <f t="shared" ref="E194:E257" si="3">A194&amp;"|"&amp;B194</f>
        <v>PLANT11|Kolkata</v>
      </c>
    </row>
    <row r="195" spans="1:5" ht="15" customHeight="1" x14ac:dyDescent="0.25">
      <c r="A195" s="32" t="s">
        <v>147</v>
      </c>
      <c r="B195" s="32" t="s">
        <v>74</v>
      </c>
      <c r="C195" s="32">
        <v>4672.0364117134004</v>
      </c>
      <c r="D195" s="32">
        <v>0</v>
      </c>
      <c r="E195" s="34" t="str">
        <f t="shared" si="3"/>
        <v>PLANT11|Lucknow</v>
      </c>
    </row>
    <row r="196" spans="1:5" ht="15" customHeight="1" x14ac:dyDescent="0.25">
      <c r="A196" s="32" t="s">
        <v>147</v>
      </c>
      <c r="B196" s="32" t="s">
        <v>75</v>
      </c>
      <c r="C196" s="32">
        <v>297.54748607064602</v>
      </c>
      <c r="D196" s="32">
        <v>1194.69</v>
      </c>
      <c r="E196" s="34" t="str">
        <f t="shared" si="3"/>
        <v>PLANT11|Mumbai</v>
      </c>
    </row>
    <row r="197" spans="1:5" ht="15" customHeight="1" x14ac:dyDescent="0.25">
      <c r="A197" s="32" t="s">
        <v>147</v>
      </c>
      <c r="B197" s="32" t="s">
        <v>76</v>
      </c>
      <c r="C197" s="32">
        <v>3937.76105977931</v>
      </c>
      <c r="D197" s="32">
        <v>661.38</v>
      </c>
      <c r="E197" s="34" t="str">
        <f t="shared" si="3"/>
        <v>PLANT11|Nagpur</v>
      </c>
    </row>
    <row r="198" spans="1:5" ht="15" customHeight="1" x14ac:dyDescent="0.25">
      <c r="A198" s="32" t="s">
        <v>147</v>
      </c>
      <c r="B198" s="32" t="s">
        <v>77</v>
      </c>
      <c r="C198" s="32">
        <v>1341.1888179498901</v>
      </c>
      <c r="D198" s="32">
        <v>1176.69</v>
      </c>
      <c r="E198" s="34" t="str">
        <f t="shared" si="3"/>
        <v>PLANT11|Pune</v>
      </c>
    </row>
    <row r="199" spans="1:5" ht="15" customHeight="1" x14ac:dyDescent="0.25">
      <c r="A199" s="32" t="s">
        <v>147</v>
      </c>
      <c r="B199" s="32" t="s">
        <v>78</v>
      </c>
      <c r="C199" s="32">
        <v>49866.654462875602</v>
      </c>
      <c r="D199" s="32">
        <v>1044.92</v>
      </c>
      <c r="E199" s="34" t="str">
        <f t="shared" si="3"/>
        <v>PLANT11|Visakhapatnam</v>
      </c>
    </row>
    <row r="200" spans="1:5" ht="15" customHeight="1" x14ac:dyDescent="0.25">
      <c r="A200" s="32" t="s">
        <v>107</v>
      </c>
      <c r="B200" s="32" t="s">
        <v>51</v>
      </c>
      <c r="C200" s="32">
        <v>5343.7984483899199</v>
      </c>
      <c r="D200" s="32">
        <v>338.38</v>
      </c>
      <c r="E200" s="34" t="str">
        <f t="shared" si="3"/>
        <v>PLANT09|Ahmedabad</v>
      </c>
    </row>
    <row r="201" spans="1:5" ht="15" customHeight="1" x14ac:dyDescent="0.25">
      <c r="A201" s="32" t="s">
        <v>107</v>
      </c>
      <c r="B201" s="32" t="s">
        <v>54</v>
      </c>
      <c r="C201" s="32">
        <v>6653.6143841089297</v>
      </c>
      <c r="D201" s="32">
        <v>1099.3800000000001</v>
      </c>
      <c r="E201" s="34" t="str">
        <f t="shared" si="3"/>
        <v>PLANT09|Bengaluru</v>
      </c>
    </row>
    <row r="202" spans="1:5" ht="15" customHeight="1" x14ac:dyDescent="0.25">
      <c r="A202" s="32" t="s">
        <v>107</v>
      </c>
      <c r="B202" s="32" t="s">
        <v>56</v>
      </c>
      <c r="C202" s="32">
        <v>9430.8576330686792</v>
      </c>
      <c r="D202" s="32">
        <v>170.15</v>
      </c>
      <c r="E202" s="34" t="str">
        <f t="shared" si="3"/>
        <v>PLANT09|Bhopal</v>
      </c>
    </row>
    <row r="203" spans="1:5" ht="15" customHeight="1" x14ac:dyDescent="0.25">
      <c r="A203" s="32" t="s">
        <v>107</v>
      </c>
      <c r="B203" s="32" t="s">
        <v>58</v>
      </c>
      <c r="C203" s="32">
        <v>29329.459590446899</v>
      </c>
      <c r="D203" s="32">
        <v>895.77</v>
      </c>
      <c r="E203" s="34" t="str">
        <f t="shared" si="3"/>
        <v>PLANT09|Chandigarh</v>
      </c>
    </row>
    <row r="204" spans="1:5" ht="15" customHeight="1" x14ac:dyDescent="0.25">
      <c r="A204" s="32" t="s">
        <v>107</v>
      </c>
      <c r="B204" s="32" t="s">
        <v>61</v>
      </c>
      <c r="C204" s="32">
        <v>14341.743357687499</v>
      </c>
      <c r="D204" s="32">
        <v>1168.6199999999999</v>
      </c>
      <c r="E204" s="34" t="str">
        <f t="shared" si="3"/>
        <v>PLANT09|Chennai</v>
      </c>
    </row>
    <row r="205" spans="1:5" ht="15" customHeight="1" x14ac:dyDescent="0.25">
      <c r="A205" s="32" t="s">
        <v>107</v>
      </c>
      <c r="B205" s="32" t="s">
        <v>63</v>
      </c>
      <c r="C205" s="32">
        <v>16571.403311052502</v>
      </c>
      <c r="D205" s="32">
        <v>1306.54</v>
      </c>
      <c r="E205" s="34" t="str">
        <f t="shared" si="3"/>
        <v>PLANT09|Coimbatore</v>
      </c>
    </row>
    <row r="206" spans="1:5" ht="15" customHeight="1" x14ac:dyDescent="0.25">
      <c r="A206" s="32" t="s">
        <v>107</v>
      </c>
      <c r="B206" s="32" t="s">
        <v>65</v>
      </c>
      <c r="C206" s="32">
        <v>8622.4513590049301</v>
      </c>
      <c r="D206" s="32">
        <v>677</v>
      </c>
      <c r="E206" s="34" t="str">
        <f t="shared" si="3"/>
        <v>PLANT09|Delhi NCR</v>
      </c>
    </row>
    <row r="207" spans="1:5" ht="15" customHeight="1" x14ac:dyDescent="0.25">
      <c r="A207" s="32" t="s">
        <v>107</v>
      </c>
      <c r="B207" s="32" t="s">
        <v>66</v>
      </c>
      <c r="C207" s="32">
        <v>446.57233652448298</v>
      </c>
      <c r="D207" s="32">
        <v>1650.77</v>
      </c>
      <c r="E207" s="34" t="str">
        <f t="shared" si="3"/>
        <v>PLANT09|Guwahati</v>
      </c>
    </row>
    <row r="208" spans="1:5" ht="15" customHeight="1" x14ac:dyDescent="0.25">
      <c r="A208" s="32" t="s">
        <v>107</v>
      </c>
      <c r="B208" s="32" t="s">
        <v>67</v>
      </c>
      <c r="C208" s="32">
        <v>1466.2151817014101</v>
      </c>
      <c r="D208" s="32">
        <v>653.62</v>
      </c>
      <c r="E208" s="34" t="str">
        <f t="shared" si="3"/>
        <v>PLANT09|Hyderabad</v>
      </c>
    </row>
    <row r="209" spans="1:5" ht="15" customHeight="1" x14ac:dyDescent="0.25">
      <c r="A209" s="32" t="s">
        <v>107</v>
      </c>
      <c r="B209" s="32" t="s">
        <v>69</v>
      </c>
      <c r="C209" s="32">
        <v>2955.3242428547501</v>
      </c>
      <c r="D209" s="32">
        <v>0</v>
      </c>
      <c r="E209" s="34" t="str">
        <f t="shared" si="3"/>
        <v>PLANT09|Indore</v>
      </c>
    </row>
    <row r="210" spans="1:5" ht="15" customHeight="1" x14ac:dyDescent="0.25">
      <c r="A210" s="32" t="s">
        <v>107</v>
      </c>
      <c r="B210" s="32" t="s">
        <v>71</v>
      </c>
      <c r="C210" s="32">
        <v>1554.1188182020101</v>
      </c>
      <c r="D210" s="32">
        <v>466.31</v>
      </c>
      <c r="E210" s="34" t="str">
        <f t="shared" si="3"/>
        <v>PLANT09|Jaipur</v>
      </c>
    </row>
    <row r="211" spans="1:5" ht="15" customHeight="1" x14ac:dyDescent="0.25">
      <c r="A211" s="32" t="s">
        <v>107</v>
      </c>
      <c r="B211" s="32" t="s">
        <v>72</v>
      </c>
      <c r="C211" s="32">
        <v>18988.482376632699</v>
      </c>
      <c r="D211" s="32">
        <v>1422.69</v>
      </c>
      <c r="E211" s="34" t="str">
        <f t="shared" si="3"/>
        <v>PLANT09|Kochi</v>
      </c>
    </row>
    <row r="212" spans="1:5" ht="15" customHeight="1" x14ac:dyDescent="0.25">
      <c r="A212" s="32" t="s">
        <v>107</v>
      </c>
      <c r="B212" s="32" t="s">
        <v>73</v>
      </c>
      <c r="C212" s="32">
        <v>7298.3712461721198</v>
      </c>
      <c r="D212" s="32">
        <v>1283.1500000000001</v>
      </c>
      <c r="E212" s="34" t="str">
        <f t="shared" si="3"/>
        <v>PLANT09|Kolkata</v>
      </c>
    </row>
    <row r="213" spans="1:5" ht="15" customHeight="1" x14ac:dyDescent="0.25">
      <c r="A213" s="32" t="s">
        <v>107</v>
      </c>
      <c r="B213" s="32" t="s">
        <v>74</v>
      </c>
      <c r="C213" s="32">
        <v>4672.0364117134004</v>
      </c>
      <c r="D213" s="32">
        <v>688.69</v>
      </c>
      <c r="E213" s="34" t="str">
        <f t="shared" si="3"/>
        <v>PLANT09|Lucknow</v>
      </c>
    </row>
    <row r="214" spans="1:5" ht="15" customHeight="1" x14ac:dyDescent="0.25">
      <c r="A214" s="32" t="s">
        <v>107</v>
      </c>
      <c r="B214" s="32" t="s">
        <v>75</v>
      </c>
      <c r="C214" s="32">
        <v>297.54748607064602</v>
      </c>
      <c r="D214" s="32">
        <v>509.85</v>
      </c>
      <c r="E214" s="34" t="str">
        <f t="shared" si="3"/>
        <v>PLANT09|Mumbai</v>
      </c>
    </row>
    <row r="215" spans="1:5" ht="15" customHeight="1" x14ac:dyDescent="0.25">
      <c r="A215" s="32" t="s">
        <v>107</v>
      </c>
      <c r="B215" s="32" t="s">
        <v>76</v>
      </c>
      <c r="C215" s="32">
        <v>3937.76105977931</v>
      </c>
      <c r="D215" s="32">
        <v>376.38</v>
      </c>
      <c r="E215" s="34" t="str">
        <f t="shared" si="3"/>
        <v>PLANT09|Nagpur</v>
      </c>
    </row>
    <row r="216" spans="1:5" ht="15" customHeight="1" x14ac:dyDescent="0.25">
      <c r="A216" s="32" t="s">
        <v>107</v>
      </c>
      <c r="B216" s="32" t="s">
        <v>77</v>
      </c>
      <c r="C216" s="32">
        <v>1341.1888179498901</v>
      </c>
      <c r="D216" s="32">
        <v>511.23</v>
      </c>
      <c r="E216" s="34" t="str">
        <f t="shared" si="3"/>
        <v>PLANT09|Pune</v>
      </c>
    </row>
    <row r="217" spans="1:5" ht="15" customHeight="1" x14ac:dyDescent="0.25">
      <c r="A217" s="32" t="s">
        <v>107</v>
      </c>
      <c r="B217" s="32" t="s">
        <v>78</v>
      </c>
      <c r="C217" s="32">
        <v>49866.654462875602</v>
      </c>
      <c r="D217" s="32">
        <v>950</v>
      </c>
      <c r="E217" s="34" t="str">
        <f t="shared" si="3"/>
        <v>PLANT09|Visakhapatnam</v>
      </c>
    </row>
    <row r="218" spans="1:5" ht="15" customHeight="1" x14ac:dyDescent="0.25">
      <c r="A218" s="32" t="s">
        <v>64</v>
      </c>
      <c r="B218" s="32" t="s">
        <v>51</v>
      </c>
      <c r="C218" s="32">
        <v>5343.7984483899199</v>
      </c>
      <c r="D218" s="32">
        <v>1618.85</v>
      </c>
      <c r="E218" s="34" t="str">
        <f t="shared" si="3"/>
        <v>PLANT03|Ahmedabad</v>
      </c>
    </row>
    <row r="219" spans="1:5" ht="15" customHeight="1" x14ac:dyDescent="0.25">
      <c r="A219" s="32" t="s">
        <v>64</v>
      </c>
      <c r="B219" s="32" t="s">
        <v>54</v>
      </c>
      <c r="C219" s="32">
        <v>6653.6143841089297</v>
      </c>
      <c r="D219" s="32">
        <v>1560.69</v>
      </c>
      <c r="E219" s="34" t="str">
        <f t="shared" si="3"/>
        <v>PLANT03|Bengaluru</v>
      </c>
    </row>
    <row r="220" spans="1:5" ht="15" customHeight="1" x14ac:dyDescent="0.25">
      <c r="A220" s="32" t="s">
        <v>64</v>
      </c>
      <c r="B220" s="32" t="s">
        <v>56</v>
      </c>
      <c r="C220" s="32">
        <v>9430.8576330686792</v>
      </c>
      <c r="D220" s="32">
        <v>1123.92</v>
      </c>
      <c r="E220" s="34" t="str">
        <f t="shared" si="3"/>
        <v>PLANT03|Bhopal</v>
      </c>
    </row>
    <row r="221" spans="1:5" ht="15" customHeight="1" x14ac:dyDescent="0.25">
      <c r="A221" s="32" t="s">
        <v>64</v>
      </c>
      <c r="B221" s="32" t="s">
        <v>58</v>
      </c>
      <c r="C221" s="32">
        <v>29329.459590446899</v>
      </c>
      <c r="D221" s="32">
        <v>1464.23</v>
      </c>
      <c r="E221" s="34" t="str">
        <f t="shared" si="3"/>
        <v>PLANT03|Chandigarh</v>
      </c>
    </row>
    <row r="222" spans="1:5" ht="15" customHeight="1" x14ac:dyDescent="0.25">
      <c r="A222" s="32" t="s">
        <v>64</v>
      </c>
      <c r="B222" s="32" t="s">
        <v>61</v>
      </c>
      <c r="C222" s="32">
        <v>14341.743357687499</v>
      </c>
      <c r="D222" s="32">
        <v>1358.38</v>
      </c>
      <c r="E222" s="34" t="str">
        <f t="shared" si="3"/>
        <v>PLANT03|Chennai</v>
      </c>
    </row>
    <row r="223" spans="1:5" ht="15" customHeight="1" x14ac:dyDescent="0.25">
      <c r="A223" s="32" t="s">
        <v>64</v>
      </c>
      <c r="B223" s="32" t="s">
        <v>63</v>
      </c>
      <c r="C223" s="32">
        <v>16571.403311052502</v>
      </c>
      <c r="D223" s="32">
        <v>1766.08</v>
      </c>
      <c r="E223" s="34" t="str">
        <f t="shared" si="3"/>
        <v>PLANT03|Coimbatore</v>
      </c>
    </row>
    <row r="224" spans="1:5" ht="15" customHeight="1" x14ac:dyDescent="0.25">
      <c r="A224" s="32" t="s">
        <v>64</v>
      </c>
      <c r="B224" s="32" t="s">
        <v>65</v>
      </c>
      <c r="C224" s="32">
        <v>8622.4513590049301</v>
      </c>
      <c r="D224" s="32">
        <v>1317.77</v>
      </c>
      <c r="E224" s="34" t="str">
        <f t="shared" si="3"/>
        <v>PLANT03|Delhi NCR</v>
      </c>
    </row>
    <row r="225" spans="1:5" ht="15" customHeight="1" x14ac:dyDescent="0.25">
      <c r="A225" s="32" t="s">
        <v>64</v>
      </c>
      <c r="B225" s="32" t="s">
        <v>66</v>
      </c>
      <c r="C225" s="32">
        <v>446.57233652448298</v>
      </c>
      <c r="D225" s="32">
        <v>523.85</v>
      </c>
      <c r="E225" s="34" t="str">
        <f t="shared" si="3"/>
        <v>PLANT03|Guwahati</v>
      </c>
    </row>
    <row r="226" spans="1:5" ht="15" customHeight="1" x14ac:dyDescent="0.25">
      <c r="A226" s="32" t="s">
        <v>64</v>
      </c>
      <c r="B226" s="32" t="s">
        <v>67</v>
      </c>
      <c r="C226" s="32">
        <v>1466.2151817014101</v>
      </c>
      <c r="D226" s="32">
        <v>1181.8499999999999</v>
      </c>
      <c r="E226" s="34" t="str">
        <f t="shared" si="3"/>
        <v>PLANT03|Hyderabad</v>
      </c>
    </row>
    <row r="227" spans="1:5" ht="15" customHeight="1" x14ac:dyDescent="0.25">
      <c r="A227" s="32" t="s">
        <v>64</v>
      </c>
      <c r="B227" s="32" t="s">
        <v>69</v>
      </c>
      <c r="C227" s="32">
        <v>2955.3242428547501</v>
      </c>
      <c r="D227" s="32">
        <v>1283.1500000000001</v>
      </c>
      <c r="E227" s="34" t="str">
        <f t="shared" si="3"/>
        <v>PLANT03|Indore</v>
      </c>
    </row>
    <row r="228" spans="1:5" ht="15" customHeight="1" x14ac:dyDescent="0.25">
      <c r="A228" s="32" t="s">
        <v>64</v>
      </c>
      <c r="B228" s="32" t="s">
        <v>71</v>
      </c>
      <c r="C228" s="32">
        <v>1554.1188182020101</v>
      </c>
      <c r="D228" s="32">
        <v>1357.77</v>
      </c>
      <c r="E228" s="34" t="str">
        <f t="shared" si="3"/>
        <v>PLANT03|Jaipur</v>
      </c>
    </row>
    <row r="229" spans="1:5" ht="15" customHeight="1" x14ac:dyDescent="0.25">
      <c r="A229" s="32" t="s">
        <v>64</v>
      </c>
      <c r="B229" s="32" t="s">
        <v>72</v>
      </c>
      <c r="C229" s="32">
        <v>18988.482376632699</v>
      </c>
      <c r="D229" s="32">
        <v>1906.38</v>
      </c>
      <c r="E229" s="34" t="str">
        <f t="shared" si="3"/>
        <v>PLANT03|Kochi</v>
      </c>
    </row>
    <row r="230" spans="1:5" ht="15" customHeight="1" x14ac:dyDescent="0.25">
      <c r="A230" s="32" t="s">
        <v>64</v>
      </c>
      <c r="B230" s="32" t="s">
        <v>73</v>
      </c>
      <c r="C230" s="32">
        <v>7298.3712461721198</v>
      </c>
      <c r="D230" s="32">
        <v>0</v>
      </c>
      <c r="E230" s="34" t="str">
        <f t="shared" si="3"/>
        <v>PLANT03|Kolkata</v>
      </c>
    </row>
    <row r="231" spans="1:5" ht="15" customHeight="1" x14ac:dyDescent="0.25">
      <c r="A231" s="32" t="s">
        <v>64</v>
      </c>
      <c r="B231" s="32" t="s">
        <v>74</v>
      </c>
      <c r="C231" s="32">
        <v>4672.0364117134004</v>
      </c>
      <c r="D231" s="32">
        <v>887</v>
      </c>
      <c r="E231" s="34" t="str">
        <f t="shared" si="3"/>
        <v>PLANT03|Lucknow</v>
      </c>
    </row>
    <row r="232" spans="1:5" ht="15" customHeight="1" x14ac:dyDescent="0.25">
      <c r="A232" s="32" t="s">
        <v>64</v>
      </c>
      <c r="B232" s="32" t="s">
        <v>75</v>
      </c>
      <c r="C232" s="32">
        <v>297.54748607064602</v>
      </c>
      <c r="D232" s="32">
        <v>1654.85</v>
      </c>
      <c r="E232" s="34" t="str">
        <f t="shared" si="3"/>
        <v>PLANT03|Mumbai</v>
      </c>
    </row>
    <row r="233" spans="1:5" ht="15" customHeight="1" x14ac:dyDescent="0.25">
      <c r="A233" s="32" t="s">
        <v>64</v>
      </c>
      <c r="B233" s="32" t="s">
        <v>76</v>
      </c>
      <c r="C233" s="32">
        <v>3937.76105977931</v>
      </c>
      <c r="D233" s="32">
        <v>970.15</v>
      </c>
      <c r="E233" s="34" t="str">
        <f t="shared" si="3"/>
        <v>PLANT03|Nagpur</v>
      </c>
    </row>
    <row r="234" spans="1:5" ht="15" customHeight="1" x14ac:dyDescent="0.25">
      <c r="A234" s="32" t="s">
        <v>64</v>
      </c>
      <c r="B234" s="32" t="s">
        <v>77</v>
      </c>
      <c r="C234" s="32">
        <v>1341.1888179498901</v>
      </c>
      <c r="D234" s="32">
        <v>1575.38</v>
      </c>
      <c r="E234" s="34" t="str">
        <f t="shared" si="3"/>
        <v>PLANT03|Pune</v>
      </c>
    </row>
    <row r="235" spans="1:5" ht="15" customHeight="1" x14ac:dyDescent="0.25">
      <c r="A235" s="32" t="s">
        <v>64</v>
      </c>
      <c r="B235" s="32" t="s">
        <v>78</v>
      </c>
      <c r="C235" s="32">
        <v>49866.654462875602</v>
      </c>
      <c r="D235" s="32">
        <v>763.85</v>
      </c>
      <c r="E235" s="34" t="str">
        <f t="shared" si="3"/>
        <v>PLANT03|Visakhapatnam</v>
      </c>
    </row>
    <row r="236" spans="1:5" ht="15" customHeight="1" x14ac:dyDescent="0.25">
      <c r="A236" s="32" t="s">
        <v>57</v>
      </c>
      <c r="B236" s="32" t="s">
        <v>51</v>
      </c>
      <c r="C236" s="32">
        <v>5343.7984483899199</v>
      </c>
      <c r="D236" s="32">
        <v>1304.54</v>
      </c>
      <c r="E236" s="34" t="str">
        <f t="shared" si="3"/>
        <v>PLANT13|Ahmedabad</v>
      </c>
    </row>
    <row r="237" spans="1:5" ht="15" customHeight="1" x14ac:dyDescent="0.25">
      <c r="A237" s="32" t="s">
        <v>57</v>
      </c>
      <c r="B237" s="32" t="s">
        <v>54</v>
      </c>
      <c r="C237" s="32">
        <v>6653.6143841089297</v>
      </c>
      <c r="D237" s="32">
        <v>1610.31</v>
      </c>
      <c r="E237" s="34" t="str">
        <f t="shared" si="3"/>
        <v>PLANT13|Bengaluru</v>
      </c>
    </row>
    <row r="238" spans="1:5" ht="15" customHeight="1" x14ac:dyDescent="0.25">
      <c r="A238" s="32" t="s">
        <v>57</v>
      </c>
      <c r="B238" s="32" t="s">
        <v>56</v>
      </c>
      <c r="C238" s="32">
        <v>9430.8576330686792</v>
      </c>
      <c r="D238" s="32">
        <v>823.85</v>
      </c>
      <c r="E238" s="34" t="str">
        <f t="shared" si="3"/>
        <v>PLANT13|Bhopal</v>
      </c>
    </row>
    <row r="239" spans="1:5" ht="15" customHeight="1" x14ac:dyDescent="0.25">
      <c r="A239" s="32" t="s">
        <v>57</v>
      </c>
      <c r="B239" s="32" t="s">
        <v>58</v>
      </c>
      <c r="C239" s="32">
        <v>29329.459590446899</v>
      </c>
      <c r="D239" s="32">
        <v>998.38</v>
      </c>
      <c r="E239" s="34" t="str">
        <f t="shared" si="3"/>
        <v>PLANT13|Chandigarh</v>
      </c>
    </row>
    <row r="240" spans="1:5" ht="15" customHeight="1" x14ac:dyDescent="0.25">
      <c r="A240" s="32" t="s">
        <v>57</v>
      </c>
      <c r="B240" s="32" t="s">
        <v>61</v>
      </c>
      <c r="C240" s="32">
        <v>14341.743357687499</v>
      </c>
      <c r="D240" s="32">
        <v>1481.46</v>
      </c>
      <c r="E240" s="34" t="str">
        <f t="shared" si="3"/>
        <v>PLANT13|Chennai</v>
      </c>
    </row>
    <row r="241" spans="1:5" ht="15" customHeight="1" x14ac:dyDescent="0.25">
      <c r="A241" s="32" t="s">
        <v>57</v>
      </c>
      <c r="B241" s="32" t="s">
        <v>63</v>
      </c>
      <c r="C241" s="32">
        <v>16571.403311052502</v>
      </c>
      <c r="D241" s="32">
        <v>1835.23</v>
      </c>
      <c r="E241" s="34" t="str">
        <f t="shared" si="3"/>
        <v>PLANT13|Coimbatore</v>
      </c>
    </row>
    <row r="242" spans="1:5" ht="15" customHeight="1" x14ac:dyDescent="0.25">
      <c r="A242" s="32" t="s">
        <v>57</v>
      </c>
      <c r="B242" s="32" t="s">
        <v>65</v>
      </c>
      <c r="C242" s="32">
        <v>8622.4513590049301</v>
      </c>
      <c r="D242" s="32">
        <v>866.69</v>
      </c>
      <c r="E242" s="34" t="str">
        <f t="shared" si="3"/>
        <v>PLANT13|Delhi NCR</v>
      </c>
    </row>
    <row r="243" spans="1:5" ht="15" customHeight="1" x14ac:dyDescent="0.25">
      <c r="A243" s="32" t="s">
        <v>57</v>
      </c>
      <c r="B243" s="32" t="s">
        <v>66</v>
      </c>
      <c r="C243" s="32">
        <v>446.57233652448298</v>
      </c>
      <c r="D243" s="32">
        <v>663</v>
      </c>
      <c r="E243" s="34" t="str">
        <f t="shared" si="3"/>
        <v>PLANT13|Guwahati</v>
      </c>
    </row>
    <row r="244" spans="1:5" ht="15" customHeight="1" x14ac:dyDescent="0.25">
      <c r="A244" s="32" t="s">
        <v>57</v>
      </c>
      <c r="B244" s="32" t="s">
        <v>67</v>
      </c>
      <c r="C244" s="32">
        <v>1466.2151817014101</v>
      </c>
      <c r="D244" s="32">
        <v>1142.6199999999999</v>
      </c>
      <c r="E244" s="34" t="str">
        <f t="shared" si="3"/>
        <v>PLANT13|Hyderabad</v>
      </c>
    </row>
    <row r="245" spans="1:5" ht="15" customHeight="1" x14ac:dyDescent="0.25">
      <c r="A245" s="32" t="s">
        <v>57</v>
      </c>
      <c r="B245" s="32" t="s">
        <v>69</v>
      </c>
      <c r="C245" s="32">
        <v>2955.3242428547501</v>
      </c>
      <c r="D245" s="32">
        <v>994</v>
      </c>
      <c r="E245" s="34" t="str">
        <f t="shared" si="3"/>
        <v>PLANT13|Indore</v>
      </c>
    </row>
    <row r="246" spans="1:5" ht="15" customHeight="1" x14ac:dyDescent="0.25">
      <c r="A246" s="32" t="s">
        <v>57</v>
      </c>
      <c r="B246" s="32" t="s">
        <v>71</v>
      </c>
      <c r="C246" s="32">
        <v>1554.1188182020101</v>
      </c>
      <c r="D246" s="32">
        <v>943.69</v>
      </c>
      <c r="E246" s="34" t="str">
        <f t="shared" si="3"/>
        <v>PLANT13|Jaipur</v>
      </c>
    </row>
    <row r="247" spans="1:5" ht="15" customHeight="1" x14ac:dyDescent="0.25">
      <c r="A247" s="32" t="s">
        <v>57</v>
      </c>
      <c r="B247" s="32" t="s">
        <v>72</v>
      </c>
      <c r="C247" s="32">
        <v>18988.482376632699</v>
      </c>
      <c r="D247" s="32">
        <v>1976.92</v>
      </c>
      <c r="E247" s="34" t="str">
        <f t="shared" si="3"/>
        <v>PLANT13|Kochi</v>
      </c>
    </row>
    <row r="248" spans="1:5" ht="15" customHeight="1" x14ac:dyDescent="0.25">
      <c r="A248" s="32" t="s">
        <v>57</v>
      </c>
      <c r="B248" s="32" t="s">
        <v>73</v>
      </c>
      <c r="C248" s="32">
        <v>7298.3712461721198</v>
      </c>
      <c r="D248" s="32">
        <v>469.15</v>
      </c>
      <c r="E248" s="34" t="str">
        <f t="shared" si="3"/>
        <v>PLANT13|Kolkata</v>
      </c>
    </row>
    <row r="249" spans="1:5" ht="15" customHeight="1" x14ac:dyDescent="0.25">
      <c r="A249" s="32" t="s">
        <v>57</v>
      </c>
      <c r="B249" s="32" t="s">
        <v>74</v>
      </c>
      <c r="C249" s="32">
        <v>4672.0364117134004</v>
      </c>
      <c r="D249" s="32">
        <v>440.69</v>
      </c>
      <c r="E249" s="34" t="str">
        <f t="shared" si="3"/>
        <v>PLANT13|Lucknow</v>
      </c>
    </row>
    <row r="250" spans="1:5" ht="15" customHeight="1" x14ac:dyDescent="0.25">
      <c r="A250" s="32" t="s">
        <v>57</v>
      </c>
      <c r="B250" s="32" t="s">
        <v>75</v>
      </c>
      <c r="C250" s="32">
        <v>297.54748607064602</v>
      </c>
      <c r="D250" s="32">
        <v>1453.23</v>
      </c>
      <c r="E250" s="34" t="str">
        <f t="shared" si="3"/>
        <v>PLANT13|Mumbai</v>
      </c>
    </row>
    <row r="251" spans="1:5" ht="15" customHeight="1" x14ac:dyDescent="0.25">
      <c r="A251" s="32" t="s">
        <v>57</v>
      </c>
      <c r="B251" s="32" t="s">
        <v>76</v>
      </c>
      <c r="C251" s="32">
        <v>3937.76105977931</v>
      </c>
      <c r="D251" s="32">
        <v>790.92</v>
      </c>
      <c r="E251" s="34" t="str">
        <f t="shared" si="3"/>
        <v>PLANT13|Nagpur</v>
      </c>
    </row>
    <row r="252" spans="1:5" ht="15" customHeight="1" x14ac:dyDescent="0.25">
      <c r="A252" s="32" t="s">
        <v>57</v>
      </c>
      <c r="B252" s="32" t="s">
        <v>77</v>
      </c>
      <c r="C252" s="32">
        <v>1341.1888179498901</v>
      </c>
      <c r="D252" s="32">
        <v>1402.54</v>
      </c>
      <c r="E252" s="34" t="str">
        <f t="shared" si="3"/>
        <v>PLANT13|Pune</v>
      </c>
    </row>
    <row r="253" spans="1:5" ht="15" customHeight="1" x14ac:dyDescent="0.25">
      <c r="A253" s="32" t="s">
        <v>57</v>
      </c>
      <c r="B253" s="32" t="s">
        <v>78</v>
      </c>
      <c r="C253" s="32">
        <v>49866.654462875602</v>
      </c>
      <c r="D253" s="32">
        <v>901.31</v>
      </c>
      <c r="E253" s="34" t="str">
        <f t="shared" si="3"/>
        <v>PLANT13|Visakhapatnam</v>
      </c>
    </row>
    <row r="254" spans="1:5" ht="15" customHeight="1" x14ac:dyDescent="0.25">
      <c r="A254" s="32" t="s">
        <v>144</v>
      </c>
      <c r="B254" s="32" t="s">
        <v>51</v>
      </c>
      <c r="C254" s="32">
        <v>5343.7984483899199</v>
      </c>
      <c r="D254" s="32">
        <v>207.69</v>
      </c>
      <c r="E254" s="34" t="str">
        <f t="shared" si="3"/>
        <v>PLANT08|Ahmedabad</v>
      </c>
    </row>
    <row r="255" spans="1:5" ht="15" customHeight="1" x14ac:dyDescent="0.25">
      <c r="A255" s="32" t="s">
        <v>144</v>
      </c>
      <c r="B255" s="32" t="s">
        <v>54</v>
      </c>
      <c r="C255" s="32">
        <v>6653.6143841089297</v>
      </c>
      <c r="D255" s="32">
        <v>1042.54</v>
      </c>
      <c r="E255" s="34" t="str">
        <f t="shared" si="3"/>
        <v>PLANT08|Bengaluru</v>
      </c>
    </row>
    <row r="256" spans="1:5" ht="15" customHeight="1" x14ac:dyDescent="0.25">
      <c r="A256" s="32" t="s">
        <v>144</v>
      </c>
      <c r="B256" s="32" t="s">
        <v>56</v>
      </c>
      <c r="C256" s="32">
        <v>9430.8576330686792</v>
      </c>
      <c r="D256" s="32">
        <v>525.69000000000005</v>
      </c>
      <c r="E256" s="34" t="str">
        <f t="shared" si="3"/>
        <v>PLANT08|Bhopal</v>
      </c>
    </row>
    <row r="257" spans="1:5" ht="15" customHeight="1" x14ac:dyDescent="0.25">
      <c r="A257" s="32" t="s">
        <v>144</v>
      </c>
      <c r="B257" s="32" t="s">
        <v>58</v>
      </c>
      <c r="C257" s="32">
        <v>29329.459590446899</v>
      </c>
      <c r="D257" s="32">
        <v>1134</v>
      </c>
      <c r="E257" s="34" t="str">
        <f t="shared" si="3"/>
        <v>PLANT08|Chandigarh</v>
      </c>
    </row>
    <row r="258" spans="1:5" ht="15" customHeight="1" x14ac:dyDescent="0.25">
      <c r="A258" s="32" t="s">
        <v>144</v>
      </c>
      <c r="B258" s="32" t="s">
        <v>61</v>
      </c>
      <c r="C258" s="32">
        <v>14341.743357687499</v>
      </c>
      <c r="D258" s="32">
        <v>1196.77</v>
      </c>
      <c r="E258" s="34" t="str">
        <f t="shared" ref="E258:E289" si="4">A258&amp;"|"&amp;B258</f>
        <v>PLANT08|Chennai</v>
      </c>
    </row>
    <row r="259" spans="1:5" ht="15" customHeight="1" x14ac:dyDescent="0.25">
      <c r="A259" s="32" t="s">
        <v>144</v>
      </c>
      <c r="B259" s="32" t="s">
        <v>63</v>
      </c>
      <c r="C259" s="32">
        <v>16571.403311052502</v>
      </c>
      <c r="D259" s="32">
        <v>1211.69</v>
      </c>
      <c r="E259" s="34" t="str">
        <f t="shared" si="4"/>
        <v>PLANT08|Coimbatore</v>
      </c>
    </row>
    <row r="260" spans="1:5" ht="15" customHeight="1" x14ac:dyDescent="0.25">
      <c r="A260" s="32" t="s">
        <v>144</v>
      </c>
      <c r="B260" s="32" t="s">
        <v>65</v>
      </c>
      <c r="C260" s="32">
        <v>8622.4513590049301</v>
      </c>
      <c r="D260" s="32">
        <v>941.69</v>
      </c>
      <c r="E260" s="34" t="str">
        <f t="shared" si="4"/>
        <v>PLANT08|Delhi NCR</v>
      </c>
    </row>
    <row r="261" spans="1:5" ht="15" customHeight="1" x14ac:dyDescent="0.25">
      <c r="A261" s="32" t="s">
        <v>144</v>
      </c>
      <c r="B261" s="32" t="s">
        <v>66</v>
      </c>
      <c r="C261" s="32">
        <v>446.57233652448298</v>
      </c>
      <c r="D261" s="32">
        <v>2001.08</v>
      </c>
      <c r="E261" s="34" t="str">
        <f t="shared" si="4"/>
        <v>PLANT08|Guwahati</v>
      </c>
    </row>
    <row r="262" spans="1:5" ht="15" customHeight="1" x14ac:dyDescent="0.25">
      <c r="A262" s="32" t="s">
        <v>144</v>
      </c>
      <c r="B262" s="32" t="s">
        <v>67</v>
      </c>
      <c r="C262" s="32">
        <v>1466.2151817014101</v>
      </c>
      <c r="D262" s="32">
        <v>727.54</v>
      </c>
      <c r="E262" s="34" t="str">
        <f t="shared" si="4"/>
        <v>PLANT08|Hyderabad</v>
      </c>
    </row>
    <row r="263" spans="1:5" ht="15" customHeight="1" x14ac:dyDescent="0.25">
      <c r="A263" s="32" t="s">
        <v>144</v>
      </c>
      <c r="B263" s="32" t="s">
        <v>69</v>
      </c>
      <c r="C263" s="32">
        <v>2955.3242428547501</v>
      </c>
      <c r="D263" s="32">
        <v>356.54</v>
      </c>
      <c r="E263" s="34" t="str">
        <f t="shared" si="4"/>
        <v>PLANT08|Indore</v>
      </c>
    </row>
    <row r="264" spans="1:5" ht="15" customHeight="1" x14ac:dyDescent="0.25">
      <c r="A264" s="32" t="s">
        <v>144</v>
      </c>
      <c r="B264" s="32" t="s">
        <v>71</v>
      </c>
      <c r="C264" s="32">
        <v>1554.1188182020101</v>
      </c>
      <c r="D264" s="32">
        <v>705.46</v>
      </c>
      <c r="E264" s="34" t="str">
        <f t="shared" si="4"/>
        <v>PLANT08|Jaipur</v>
      </c>
    </row>
    <row r="265" spans="1:5" ht="15" customHeight="1" x14ac:dyDescent="0.25">
      <c r="A265" s="32" t="s">
        <v>144</v>
      </c>
      <c r="B265" s="32" t="s">
        <v>72</v>
      </c>
      <c r="C265" s="32">
        <v>18988.482376632699</v>
      </c>
      <c r="D265" s="32">
        <v>1302.6199999999999</v>
      </c>
      <c r="E265" s="34" t="str">
        <f t="shared" si="4"/>
        <v>PLANT08|Kochi</v>
      </c>
    </row>
    <row r="266" spans="1:5" ht="15" customHeight="1" x14ac:dyDescent="0.25">
      <c r="A266" s="32" t="s">
        <v>144</v>
      </c>
      <c r="B266" s="32" t="s">
        <v>73</v>
      </c>
      <c r="C266" s="32">
        <v>7298.3712461721198</v>
      </c>
      <c r="D266" s="32">
        <v>1609.69</v>
      </c>
      <c r="E266" s="34" t="str">
        <f t="shared" si="4"/>
        <v>PLANT08|Kolkata</v>
      </c>
    </row>
    <row r="267" spans="1:5" ht="15" customHeight="1" x14ac:dyDescent="0.25">
      <c r="A267" s="32" t="s">
        <v>144</v>
      </c>
      <c r="B267" s="32" t="s">
        <v>74</v>
      </c>
      <c r="C267" s="32">
        <v>4672.0364117134004</v>
      </c>
      <c r="D267" s="32">
        <v>1037.69</v>
      </c>
      <c r="E267" s="34" t="str">
        <f t="shared" si="4"/>
        <v>PLANT08|Lucknow</v>
      </c>
    </row>
    <row r="268" spans="1:5" ht="15" customHeight="1" x14ac:dyDescent="0.25">
      <c r="A268" s="32" t="s">
        <v>144</v>
      </c>
      <c r="B268" s="32" t="s">
        <v>75</v>
      </c>
      <c r="C268" s="32">
        <v>297.54748607064602</v>
      </c>
      <c r="D268" s="32">
        <v>232.92</v>
      </c>
      <c r="E268" s="34" t="str">
        <f t="shared" si="4"/>
        <v>PLANT08|Mumbai</v>
      </c>
    </row>
    <row r="269" spans="1:5" ht="15" customHeight="1" x14ac:dyDescent="0.25">
      <c r="A269" s="32" t="s">
        <v>144</v>
      </c>
      <c r="B269" s="32" t="s">
        <v>76</v>
      </c>
      <c r="C269" s="32">
        <v>3937.76105977931</v>
      </c>
      <c r="D269" s="32">
        <v>648.85</v>
      </c>
      <c r="E269" s="34" t="str">
        <f t="shared" si="4"/>
        <v>PLANT08|Nagpur</v>
      </c>
    </row>
    <row r="270" spans="1:5" ht="15" customHeight="1" x14ac:dyDescent="0.25">
      <c r="A270" s="32" t="s">
        <v>144</v>
      </c>
      <c r="B270" s="32" t="s">
        <v>77</v>
      </c>
      <c r="C270" s="32">
        <v>1341.1888179498901</v>
      </c>
      <c r="D270" s="32">
        <v>313.54000000000002</v>
      </c>
      <c r="E270" s="34" t="str">
        <f t="shared" si="4"/>
        <v>PLANT08|Pune</v>
      </c>
    </row>
    <row r="271" spans="1:5" ht="15" customHeight="1" x14ac:dyDescent="0.25">
      <c r="A271" s="32" t="s">
        <v>144</v>
      </c>
      <c r="B271" s="32" t="s">
        <v>78</v>
      </c>
      <c r="C271" s="32">
        <v>49866.654462875602</v>
      </c>
      <c r="D271" s="32">
        <v>1155.69</v>
      </c>
      <c r="E271" s="34" t="str">
        <f t="shared" si="4"/>
        <v>PLANT08|Visakhapatnam</v>
      </c>
    </row>
    <row r="272" spans="1:5" ht="15" customHeight="1" x14ac:dyDescent="0.25">
      <c r="A272" s="32" t="s">
        <v>53</v>
      </c>
      <c r="B272" s="32" t="s">
        <v>51</v>
      </c>
      <c r="C272" s="32">
        <v>5343.7984483899199</v>
      </c>
      <c r="D272" s="32">
        <v>953.31</v>
      </c>
      <c r="E272" s="34" t="str">
        <f t="shared" si="4"/>
        <v>PLANT04|Ahmedabad</v>
      </c>
    </row>
    <row r="273" spans="1:5" ht="15" customHeight="1" x14ac:dyDescent="0.25">
      <c r="A273" s="32" t="s">
        <v>53</v>
      </c>
      <c r="B273" s="32" t="s">
        <v>54</v>
      </c>
      <c r="C273" s="32">
        <v>6653.6143841089297</v>
      </c>
      <c r="D273" s="32">
        <v>1976.77</v>
      </c>
      <c r="E273" s="34" t="str">
        <f t="shared" si="4"/>
        <v>PLANT04|Bengaluru</v>
      </c>
    </row>
    <row r="274" spans="1:5" ht="15" customHeight="1" x14ac:dyDescent="0.25">
      <c r="A274" s="32" t="s">
        <v>53</v>
      </c>
      <c r="B274" s="32" t="s">
        <v>56</v>
      </c>
      <c r="C274" s="32">
        <v>9430.8576330686792</v>
      </c>
      <c r="D274" s="32">
        <v>833.38</v>
      </c>
      <c r="E274" s="34" t="str">
        <f t="shared" si="4"/>
        <v>PLANT04|Bhopal</v>
      </c>
    </row>
    <row r="275" spans="1:5" ht="15" customHeight="1" x14ac:dyDescent="0.25">
      <c r="A275" s="32" t="s">
        <v>53</v>
      </c>
      <c r="B275" s="32" t="s">
        <v>58</v>
      </c>
      <c r="C275" s="32">
        <v>29329.459590446899</v>
      </c>
      <c r="D275" s="32">
        <v>0</v>
      </c>
      <c r="E275" s="34" t="str">
        <f t="shared" si="4"/>
        <v>PLANT04|Chandigarh</v>
      </c>
    </row>
    <row r="276" spans="1:5" ht="15" customHeight="1" x14ac:dyDescent="0.25">
      <c r="A276" s="32" t="s">
        <v>53</v>
      </c>
      <c r="B276" s="32" t="s">
        <v>61</v>
      </c>
      <c r="C276" s="32">
        <v>14341.743357687499</v>
      </c>
      <c r="D276" s="32">
        <v>1995.08</v>
      </c>
      <c r="E276" s="34" t="str">
        <f t="shared" si="4"/>
        <v>PLANT04|Chennai</v>
      </c>
    </row>
    <row r="277" spans="1:5" ht="15" customHeight="1" x14ac:dyDescent="0.25">
      <c r="A277" s="32" t="s">
        <v>53</v>
      </c>
      <c r="B277" s="32" t="s">
        <v>63</v>
      </c>
      <c r="C277" s="32">
        <v>16571.403311052502</v>
      </c>
      <c r="D277" s="32">
        <v>2192.46</v>
      </c>
      <c r="E277" s="34" t="str">
        <f t="shared" si="4"/>
        <v>PLANT04|Coimbatore</v>
      </c>
    </row>
    <row r="278" spans="1:5" ht="15" customHeight="1" x14ac:dyDescent="0.25">
      <c r="A278" s="32" t="s">
        <v>53</v>
      </c>
      <c r="B278" s="32" t="s">
        <v>65</v>
      </c>
      <c r="C278" s="32">
        <v>8622.4513590049301</v>
      </c>
      <c r="D278" s="32">
        <v>227.77</v>
      </c>
      <c r="E278" s="34" t="str">
        <f t="shared" si="4"/>
        <v>PLANT04|Delhi NCR</v>
      </c>
    </row>
    <row r="279" spans="1:5" ht="15" customHeight="1" x14ac:dyDescent="0.25">
      <c r="A279" s="32" t="s">
        <v>53</v>
      </c>
      <c r="B279" s="32" t="s">
        <v>66</v>
      </c>
      <c r="C279" s="32">
        <v>446.57233652448298</v>
      </c>
      <c r="D279" s="32">
        <v>1547.31</v>
      </c>
      <c r="E279" s="34" t="str">
        <f t="shared" si="4"/>
        <v>PLANT04|Guwahati</v>
      </c>
    </row>
    <row r="280" spans="1:5" ht="15" customHeight="1" x14ac:dyDescent="0.25">
      <c r="A280" s="32" t="s">
        <v>53</v>
      </c>
      <c r="B280" s="32" t="s">
        <v>67</v>
      </c>
      <c r="C280" s="32">
        <v>1466.2151817014101</v>
      </c>
      <c r="D280" s="32">
        <v>1494.31</v>
      </c>
      <c r="E280" s="34" t="str">
        <f t="shared" si="4"/>
        <v>PLANT04|Hyderabad</v>
      </c>
    </row>
    <row r="281" spans="1:5" ht="15" customHeight="1" x14ac:dyDescent="0.25">
      <c r="A281" s="32" t="s">
        <v>53</v>
      </c>
      <c r="B281" s="32" t="s">
        <v>69</v>
      </c>
      <c r="C281" s="32">
        <v>2955.3242428547501</v>
      </c>
      <c r="D281" s="32">
        <v>895.77</v>
      </c>
      <c r="E281" s="34" t="str">
        <f t="shared" si="4"/>
        <v>PLANT04|Indore</v>
      </c>
    </row>
    <row r="282" spans="1:5" ht="15" customHeight="1" x14ac:dyDescent="0.25">
      <c r="A282" s="32" t="s">
        <v>53</v>
      </c>
      <c r="B282" s="32" t="s">
        <v>71</v>
      </c>
      <c r="C282" s="32">
        <v>1554.1188182020101</v>
      </c>
      <c r="D282" s="32">
        <v>435.69</v>
      </c>
      <c r="E282" s="34" t="str">
        <f t="shared" si="4"/>
        <v>PLANT04|Jaipur</v>
      </c>
    </row>
    <row r="283" spans="1:5" ht="15" customHeight="1" x14ac:dyDescent="0.25">
      <c r="A283" s="32" t="s">
        <v>53</v>
      </c>
      <c r="B283" s="32" t="s">
        <v>72</v>
      </c>
      <c r="C283" s="32">
        <v>18988.482376632699</v>
      </c>
      <c r="D283" s="32">
        <v>2313.69</v>
      </c>
      <c r="E283" s="34" t="str">
        <f t="shared" si="4"/>
        <v>PLANT04|Kochi</v>
      </c>
    </row>
    <row r="284" spans="1:5" ht="15" customHeight="1" x14ac:dyDescent="0.25">
      <c r="A284" s="32" t="s">
        <v>53</v>
      </c>
      <c r="B284" s="32" t="s">
        <v>73</v>
      </c>
      <c r="C284" s="32">
        <v>7298.3712461721198</v>
      </c>
      <c r="D284" s="32">
        <v>1464.23</v>
      </c>
      <c r="E284" s="34" t="str">
        <f t="shared" si="4"/>
        <v>PLANT04|Kolkata</v>
      </c>
    </row>
    <row r="285" spans="1:5" ht="15" customHeight="1" x14ac:dyDescent="0.25">
      <c r="A285" s="32" t="s">
        <v>53</v>
      </c>
      <c r="B285" s="32" t="s">
        <v>74</v>
      </c>
      <c r="C285" s="32">
        <v>4672.0364117134004</v>
      </c>
      <c r="D285" s="32">
        <v>592.91999999999996</v>
      </c>
      <c r="E285" s="34" t="str">
        <f t="shared" si="4"/>
        <v>PLANT04|Lucknow</v>
      </c>
    </row>
    <row r="286" spans="1:5" ht="15" customHeight="1" x14ac:dyDescent="0.25">
      <c r="A286" s="32" t="s">
        <v>53</v>
      </c>
      <c r="B286" s="32" t="s">
        <v>75</v>
      </c>
      <c r="C286" s="32">
        <v>297.54748607064602</v>
      </c>
      <c r="D286" s="32">
        <v>1354.31</v>
      </c>
      <c r="E286" s="34" t="str">
        <f t="shared" si="4"/>
        <v>PLANT04|Mumbai</v>
      </c>
    </row>
    <row r="287" spans="1:5" ht="15" customHeight="1" x14ac:dyDescent="0.25">
      <c r="A287" s="32" t="s">
        <v>53</v>
      </c>
      <c r="B287" s="32" t="s">
        <v>76</v>
      </c>
      <c r="C287" s="32">
        <v>3937.76105977931</v>
      </c>
      <c r="D287" s="32">
        <v>1090.69</v>
      </c>
      <c r="E287" s="34" t="str">
        <f t="shared" si="4"/>
        <v>PLANT04|Nagpur</v>
      </c>
    </row>
    <row r="288" spans="1:5" ht="15" customHeight="1" x14ac:dyDescent="0.25">
      <c r="A288" s="32" t="s">
        <v>53</v>
      </c>
      <c r="B288" s="32" t="s">
        <v>77</v>
      </c>
      <c r="C288" s="32">
        <v>1341.1888179498901</v>
      </c>
      <c r="D288" s="32">
        <v>1389.62</v>
      </c>
      <c r="E288" s="34" t="str">
        <f t="shared" si="4"/>
        <v>PLANT04|Pune</v>
      </c>
    </row>
    <row r="289" spans="1:5" ht="15" customHeight="1" x14ac:dyDescent="0.25">
      <c r="A289" s="32" t="s">
        <v>53</v>
      </c>
      <c r="B289" s="32" t="s">
        <v>78</v>
      </c>
      <c r="C289" s="32">
        <v>49866.654462875602</v>
      </c>
      <c r="D289" s="32">
        <v>1589.92</v>
      </c>
      <c r="E289" s="34" t="str">
        <f t="shared" si="4"/>
        <v>PLANT04|Visakhapatnam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41"/>
  <sheetViews>
    <sheetView showGridLines="0" zoomScaleNormal="100" workbookViewId="0">
      <pane ySplit="1" topLeftCell="A2" activePane="bottomLeft" state="frozen"/>
      <selection pane="bottomLeft" activeCell="N8" sqref="N8"/>
    </sheetView>
  </sheetViews>
  <sheetFormatPr defaultColWidth="8.7109375" defaultRowHeight="15" x14ac:dyDescent="0.25"/>
  <cols>
    <col min="1" max="1" width="10" style="4" customWidth="1"/>
    <col min="2" max="5" width="11" style="4" customWidth="1"/>
    <col min="6" max="6" width="7" style="4" customWidth="1"/>
    <col min="7" max="7" width="11" style="4" customWidth="1"/>
    <col min="8" max="9" width="8" style="4" customWidth="1"/>
    <col min="10" max="10" width="9" style="4" customWidth="1"/>
    <col min="11" max="11" width="12" style="4" customWidth="1"/>
    <col min="12" max="12" width="27" style="4" customWidth="1"/>
  </cols>
  <sheetData>
    <row r="1" spans="1:12" ht="15" customHeight="1" x14ac:dyDescent="0.25">
      <c r="A1" s="27" t="s">
        <v>160</v>
      </c>
      <c r="B1" s="27" t="s">
        <v>161</v>
      </c>
      <c r="C1" s="27" t="s">
        <v>162</v>
      </c>
      <c r="D1" s="27" t="s">
        <v>163</v>
      </c>
      <c r="E1" s="27" t="s">
        <v>164</v>
      </c>
      <c r="F1" s="27" t="s">
        <v>165</v>
      </c>
      <c r="G1" s="27" t="s">
        <v>166</v>
      </c>
      <c r="H1" s="27" t="s">
        <v>167</v>
      </c>
      <c r="I1" s="27" t="s">
        <v>168</v>
      </c>
      <c r="J1" s="27" t="s">
        <v>169</v>
      </c>
      <c r="K1" s="27" t="s">
        <v>170</v>
      </c>
      <c r="L1" s="27" t="s">
        <v>171</v>
      </c>
    </row>
    <row r="2" spans="1:12" ht="15" customHeight="1" x14ac:dyDescent="0.25">
      <c r="A2" s="32" t="s">
        <v>172</v>
      </c>
      <c r="B2" s="32" t="s">
        <v>153</v>
      </c>
      <c r="C2" s="32" t="s">
        <v>154</v>
      </c>
      <c r="D2" s="32">
        <v>250</v>
      </c>
      <c r="E2" s="32">
        <v>499.99</v>
      </c>
      <c r="F2" s="32" t="s">
        <v>173</v>
      </c>
      <c r="G2" s="32">
        <v>43.227200000000003</v>
      </c>
      <c r="H2" s="32">
        <v>0.71319999999999995</v>
      </c>
      <c r="I2" s="32" t="s">
        <v>174</v>
      </c>
      <c r="J2" s="32">
        <v>2</v>
      </c>
      <c r="K2" s="32" t="s">
        <v>175</v>
      </c>
      <c r="L2" s="18">
        <f t="shared" ref="L2:L65" si="0">IF(AND(B2=Quote_Port,D2&lt;=Quote_Weight,Quote_Weight&lt;=E2,OR(Quote_2Day="No",J2&lt;=2)),MAX(G2,Quote_Weight*H2)*Quote_USDINR,999999999)</f>
        <v>999999999</v>
      </c>
    </row>
    <row r="3" spans="1:12" ht="15" customHeight="1" x14ac:dyDescent="0.25">
      <c r="A3" s="32" t="s">
        <v>172</v>
      </c>
      <c r="B3" s="32" t="s">
        <v>153</v>
      </c>
      <c r="C3" s="32" t="s">
        <v>154</v>
      </c>
      <c r="D3" s="32">
        <v>65</v>
      </c>
      <c r="E3" s="32">
        <v>69.989999999999995</v>
      </c>
      <c r="F3" s="32" t="s">
        <v>173</v>
      </c>
      <c r="G3" s="32">
        <v>43.227200000000003</v>
      </c>
      <c r="H3" s="32">
        <v>0.75119999999999998</v>
      </c>
      <c r="I3" s="32" t="s">
        <v>174</v>
      </c>
      <c r="J3" s="32">
        <v>2</v>
      </c>
      <c r="K3" s="32" t="s">
        <v>175</v>
      </c>
      <c r="L3" s="18">
        <f t="shared" si="0"/>
        <v>999999999</v>
      </c>
    </row>
    <row r="4" spans="1:12" ht="15" customHeight="1" x14ac:dyDescent="0.25">
      <c r="A4" s="32" t="s">
        <v>172</v>
      </c>
      <c r="B4" s="32" t="s">
        <v>153</v>
      </c>
      <c r="C4" s="32" t="s">
        <v>154</v>
      </c>
      <c r="D4" s="32">
        <v>60</v>
      </c>
      <c r="E4" s="32">
        <v>64.989999999999995</v>
      </c>
      <c r="F4" s="32" t="s">
        <v>173</v>
      </c>
      <c r="G4" s="32">
        <v>43.227200000000003</v>
      </c>
      <c r="H4" s="32">
        <v>0.78920000000000001</v>
      </c>
      <c r="I4" s="32" t="s">
        <v>174</v>
      </c>
      <c r="J4" s="32">
        <v>2</v>
      </c>
      <c r="K4" s="32" t="s">
        <v>175</v>
      </c>
      <c r="L4" s="18">
        <f t="shared" si="0"/>
        <v>999999999</v>
      </c>
    </row>
    <row r="5" spans="1:12" ht="15" customHeight="1" x14ac:dyDescent="0.25">
      <c r="A5" s="32" t="s">
        <v>172</v>
      </c>
      <c r="B5" s="32" t="s">
        <v>153</v>
      </c>
      <c r="C5" s="32" t="s">
        <v>154</v>
      </c>
      <c r="D5" s="32">
        <v>50</v>
      </c>
      <c r="E5" s="32">
        <v>54.99</v>
      </c>
      <c r="F5" s="32" t="s">
        <v>173</v>
      </c>
      <c r="G5" s="32">
        <v>43.227200000000003</v>
      </c>
      <c r="H5" s="32">
        <v>0.82720000000000005</v>
      </c>
      <c r="I5" s="32" t="s">
        <v>174</v>
      </c>
      <c r="J5" s="32">
        <v>2</v>
      </c>
      <c r="K5" s="32" t="s">
        <v>175</v>
      </c>
      <c r="L5" s="18">
        <f t="shared" si="0"/>
        <v>999999999</v>
      </c>
    </row>
    <row r="6" spans="1:12" ht="15" customHeight="1" x14ac:dyDescent="0.25">
      <c r="A6" s="32" t="s">
        <v>172</v>
      </c>
      <c r="B6" s="32" t="s">
        <v>153</v>
      </c>
      <c r="C6" s="32" t="s">
        <v>154</v>
      </c>
      <c r="D6" s="32">
        <v>35</v>
      </c>
      <c r="E6" s="32">
        <v>39.99</v>
      </c>
      <c r="F6" s="32" t="s">
        <v>173</v>
      </c>
      <c r="G6" s="32">
        <v>43.227200000000003</v>
      </c>
      <c r="H6" s="32">
        <v>1.0551999999999999</v>
      </c>
      <c r="I6" s="32" t="s">
        <v>174</v>
      </c>
      <c r="J6" s="32">
        <v>2</v>
      </c>
      <c r="K6" s="32" t="s">
        <v>175</v>
      </c>
      <c r="L6" s="18">
        <f t="shared" si="0"/>
        <v>999999999</v>
      </c>
    </row>
    <row r="7" spans="1:12" ht="15" customHeight="1" x14ac:dyDescent="0.25">
      <c r="A7" s="32" t="s">
        <v>172</v>
      </c>
      <c r="B7" s="32" t="s">
        <v>153</v>
      </c>
      <c r="C7" s="32" t="s">
        <v>154</v>
      </c>
      <c r="D7" s="32">
        <v>100</v>
      </c>
      <c r="E7" s="32">
        <v>249.99</v>
      </c>
      <c r="F7" s="32" t="s">
        <v>173</v>
      </c>
      <c r="G7" s="32">
        <v>43.227200000000003</v>
      </c>
      <c r="H7" s="32">
        <v>0.71319999999999995</v>
      </c>
      <c r="I7" s="32" t="s">
        <v>174</v>
      </c>
      <c r="J7" s="32">
        <v>2</v>
      </c>
      <c r="K7" s="32" t="s">
        <v>175</v>
      </c>
      <c r="L7" s="18">
        <f t="shared" si="0"/>
        <v>999999999</v>
      </c>
    </row>
    <row r="8" spans="1:12" ht="15" customHeight="1" x14ac:dyDescent="0.25">
      <c r="A8" s="32" t="s">
        <v>172</v>
      </c>
      <c r="B8" s="32" t="s">
        <v>153</v>
      </c>
      <c r="C8" s="32" t="s">
        <v>154</v>
      </c>
      <c r="D8" s="32">
        <v>500</v>
      </c>
      <c r="E8" s="32">
        <v>1999.99</v>
      </c>
      <c r="F8" s="32" t="s">
        <v>173</v>
      </c>
      <c r="G8" s="32">
        <v>43.227200000000003</v>
      </c>
      <c r="H8" s="32">
        <v>0.67520000000000002</v>
      </c>
      <c r="I8" s="32" t="s">
        <v>174</v>
      </c>
      <c r="J8" s="32">
        <v>2</v>
      </c>
      <c r="K8" s="32" t="s">
        <v>175</v>
      </c>
      <c r="L8" s="18">
        <f t="shared" si="0"/>
        <v>999999999</v>
      </c>
    </row>
    <row r="9" spans="1:12" ht="15" customHeight="1" x14ac:dyDescent="0.25">
      <c r="A9" s="32" t="s">
        <v>172</v>
      </c>
      <c r="B9" s="32" t="s">
        <v>153</v>
      </c>
      <c r="C9" s="32" t="s">
        <v>154</v>
      </c>
      <c r="D9" s="32">
        <v>55</v>
      </c>
      <c r="E9" s="32">
        <v>59.99</v>
      </c>
      <c r="F9" s="32" t="s">
        <v>173</v>
      </c>
      <c r="G9" s="32">
        <v>43.227200000000003</v>
      </c>
      <c r="H9" s="32">
        <v>0.82720000000000005</v>
      </c>
      <c r="I9" s="32" t="s">
        <v>174</v>
      </c>
      <c r="J9" s="32">
        <v>2</v>
      </c>
      <c r="K9" s="32" t="s">
        <v>175</v>
      </c>
      <c r="L9" s="18">
        <f t="shared" si="0"/>
        <v>999999999</v>
      </c>
    </row>
    <row r="10" spans="1:12" ht="15" customHeight="1" x14ac:dyDescent="0.25">
      <c r="A10" s="32" t="s">
        <v>172</v>
      </c>
      <c r="B10" s="32" t="s">
        <v>153</v>
      </c>
      <c r="C10" s="32" t="s">
        <v>154</v>
      </c>
      <c r="D10" s="32">
        <v>25</v>
      </c>
      <c r="E10" s="32">
        <v>29.99</v>
      </c>
      <c r="F10" s="32" t="s">
        <v>173</v>
      </c>
      <c r="G10" s="32">
        <v>43.227200000000003</v>
      </c>
      <c r="H10" s="32">
        <v>1.2452000000000001</v>
      </c>
      <c r="I10" s="32" t="s">
        <v>174</v>
      </c>
      <c r="J10" s="32">
        <v>2</v>
      </c>
      <c r="K10" s="32" t="s">
        <v>175</v>
      </c>
      <c r="L10" s="18">
        <f t="shared" si="0"/>
        <v>999999999</v>
      </c>
    </row>
    <row r="11" spans="1:12" ht="15" customHeight="1" x14ac:dyDescent="0.25">
      <c r="A11" s="32" t="s">
        <v>172</v>
      </c>
      <c r="B11" s="32" t="s">
        <v>153</v>
      </c>
      <c r="C11" s="32" t="s">
        <v>154</v>
      </c>
      <c r="D11" s="32">
        <v>30</v>
      </c>
      <c r="E11" s="32">
        <v>34.99</v>
      </c>
      <c r="F11" s="32" t="s">
        <v>173</v>
      </c>
      <c r="G11" s="32">
        <v>43.227200000000003</v>
      </c>
      <c r="H11" s="32">
        <v>1.1312</v>
      </c>
      <c r="I11" s="32" t="s">
        <v>174</v>
      </c>
      <c r="J11" s="32">
        <v>2</v>
      </c>
      <c r="K11" s="32" t="s">
        <v>175</v>
      </c>
      <c r="L11" s="18">
        <f t="shared" si="0"/>
        <v>999999999</v>
      </c>
    </row>
    <row r="12" spans="1:12" ht="15" customHeight="1" x14ac:dyDescent="0.25">
      <c r="A12" s="32" t="s">
        <v>172</v>
      </c>
      <c r="B12" s="32" t="s">
        <v>153</v>
      </c>
      <c r="C12" s="32" t="s">
        <v>154</v>
      </c>
      <c r="D12" s="32">
        <v>70</v>
      </c>
      <c r="E12" s="32">
        <v>99.99</v>
      </c>
      <c r="F12" s="32" t="s">
        <v>173</v>
      </c>
      <c r="G12" s="32">
        <v>43.227200000000003</v>
      </c>
      <c r="H12" s="32">
        <v>0.75119999999999998</v>
      </c>
      <c r="I12" s="32" t="s">
        <v>174</v>
      </c>
      <c r="J12" s="32">
        <v>2</v>
      </c>
      <c r="K12" s="32" t="s">
        <v>175</v>
      </c>
      <c r="L12" s="18">
        <f t="shared" si="0"/>
        <v>999999999</v>
      </c>
    </row>
    <row r="13" spans="1:12" ht="15" customHeight="1" x14ac:dyDescent="0.25">
      <c r="A13" s="32" t="s">
        <v>172</v>
      </c>
      <c r="B13" s="32" t="s">
        <v>153</v>
      </c>
      <c r="C13" s="32" t="s">
        <v>154</v>
      </c>
      <c r="D13" s="32">
        <v>10</v>
      </c>
      <c r="E13" s="32">
        <v>14.99</v>
      </c>
      <c r="F13" s="32" t="s">
        <v>173</v>
      </c>
      <c r="G13" s="32">
        <v>43.227200000000003</v>
      </c>
      <c r="H13" s="32">
        <v>1.8271999999999999</v>
      </c>
      <c r="I13" s="32" t="s">
        <v>174</v>
      </c>
      <c r="J13" s="32">
        <v>2</v>
      </c>
      <c r="K13" s="32" t="s">
        <v>175</v>
      </c>
      <c r="L13" s="18">
        <f t="shared" si="0"/>
        <v>999999999</v>
      </c>
    </row>
    <row r="14" spans="1:12" ht="15" customHeight="1" x14ac:dyDescent="0.25">
      <c r="A14" s="32" t="s">
        <v>172</v>
      </c>
      <c r="B14" s="32" t="s">
        <v>153</v>
      </c>
      <c r="C14" s="32" t="s">
        <v>154</v>
      </c>
      <c r="D14" s="32">
        <v>0</v>
      </c>
      <c r="E14" s="32">
        <v>4.99</v>
      </c>
      <c r="F14" s="32" t="s">
        <v>173</v>
      </c>
      <c r="G14" s="32">
        <v>43.227200000000003</v>
      </c>
      <c r="H14" s="32">
        <v>1.8271999999999999</v>
      </c>
      <c r="I14" s="32" t="s">
        <v>174</v>
      </c>
      <c r="J14" s="32">
        <v>2</v>
      </c>
      <c r="K14" s="32" t="s">
        <v>175</v>
      </c>
      <c r="L14" s="18">
        <f t="shared" si="0"/>
        <v>999999999</v>
      </c>
    </row>
    <row r="15" spans="1:12" ht="15" customHeight="1" x14ac:dyDescent="0.25">
      <c r="A15" s="32" t="s">
        <v>172</v>
      </c>
      <c r="B15" s="32" t="s">
        <v>153</v>
      </c>
      <c r="C15" s="32" t="s">
        <v>154</v>
      </c>
      <c r="D15" s="32">
        <v>5</v>
      </c>
      <c r="E15" s="32">
        <v>9.99</v>
      </c>
      <c r="F15" s="32" t="s">
        <v>173</v>
      </c>
      <c r="G15" s="32">
        <v>43.227200000000003</v>
      </c>
      <c r="H15" s="32">
        <v>1.8271999999999999</v>
      </c>
      <c r="I15" s="32" t="s">
        <v>174</v>
      </c>
      <c r="J15" s="32">
        <v>2</v>
      </c>
      <c r="K15" s="32" t="s">
        <v>175</v>
      </c>
      <c r="L15" s="18">
        <f t="shared" si="0"/>
        <v>999999999</v>
      </c>
    </row>
    <row r="16" spans="1:12" ht="15" customHeight="1" x14ac:dyDescent="0.25">
      <c r="A16" s="32" t="s">
        <v>172</v>
      </c>
      <c r="B16" s="32" t="s">
        <v>153</v>
      </c>
      <c r="C16" s="32" t="s">
        <v>154</v>
      </c>
      <c r="D16" s="32">
        <v>2000</v>
      </c>
      <c r="E16" s="32">
        <v>99999.99</v>
      </c>
      <c r="F16" s="32" t="s">
        <v>173</v>
      </c>
      <c r="G16" s="32">
        <v>43.227200000000003</v>
      </c>
      <c r="H16" s="32">
        <v>0.63719999999999999</v>
      </c>
      <c r="I16" s="32" t="s">
        <v>174</v>
      </c>
      <c r="J16" s="32">
        <v>2</v>
      </c>
      <c r="K16" s="32" t="s">
        <v>175</v>
      </c>
      <c r="L16" s="18">
        <f t="shared" si="0"/>
        <v>999999999</v>
      </c>
    </row>
    <row r="17" spans="1:12" ht="15" customHeight="1" x14ac:dyDescent="0.25">
      <c r="A17" s="32" t="s">
        <v>172</v>
      </c>
      <c r="B17" s="32" t="s">
        <v>153</v>
      </c>
      <c r="C17" s="32" t="s">
        <v>154</v>
      </c>
      <c r="D17" s="32">
        <v>45</v>
      </c>
      <c r="E17" s="32">
        <v>49.99</v>
      </c>
      <c r="F17" s="32" t="s">
        <v>173</v>
      </c>
      <c r="G17" s="32">
        <v>43.227200000000003</v>
      </c>
      <c r="H17" s="32">
        <v>0.94120000000000004</v>
      </c>
      <c r="I17" s="32" t="s">
        <v>174</v>
      </c>
      <c r="J17" s="32">
        <v>2</v>
      </c>
      <c r="K17" s="32" t="s">
        <v>175</v>
      </c>
      <c r="L17" s="18">
        <f t="shared" si="0"/>
        <v>999999999</v>
      </c>
    </row>
    <row r="18" spans="1:12" ht="15" customHeight="1" x14ac:dyDescent="0.25">
      <c r="A18" s="32" t="s">
        <v>172</v>
      </c>
      <c r="B18" s="32" t="s">
        <v>153</v>
      </c>
      <c r="C18" s="32" t="s">
        <v>154</v>
      </c>
      <c r="D18" s="32">
        <v>20</v>
      </c>
      <c r="E18" s="32">
        <v>24.99</v>
      </c>
      <c r="F18" s="32" t="s">
        <v>173</v>
      </c>
      <c r="G18" s="32">
        <v>43.227200000000003</v>
      </c>
      <c r="H18" s="32">
        <v>1.3211999999999999</v>
      </c>
      <c r="I18" s="32" t="s">
        <v>174</v>
      </c>
      <c r="J18" s="32">
        <v>2</v>
      </c>
      <c r="K18" s="32" t="s">
        <v>175</v>
      </c>
      <c r="L18" s="18">
        <f t="shared" si="0"/>
        <v>999999999</v>
      </c>
    </row>
    <row r="19" spans="1:12" ht="15" customHeight="1" x14ac:dyDescent="0.25">
      <c r="A19" s="32" t="s">
        <v>172</v>
      </c>
      <c r="B19" s="32" t="s">
        <v>153</v>
      </c>
      <c r="C19" s="32" t="s">
        <v>154</v>
      </c>
      <c r="D19" s="32">
        <v>40</v>
      </c>
      <c r="E19" s="32">
        <v>44.99</v>
      </c>
      <c r="F19" s="32" t="s">
        <v>173</v>
      </c>
      <c r="G19" s="32">
        <v>43.227200000000003</v>
      </c>
      <c r="H19" s="32">
        <v>0.97919999999999996</v>
      </c>
      <c r="I19" s="32" t="s">
        <v>174</v>
      </c>
      <c r="J19" s="32">
        <v>2</v>
      </c>
      <c r="K19" s="32" t="s">
        <v>175</v>
      </c>
      <c r="L19" s="18">
        <f t="shared" si="0"/>
        <v>999999999</v>
      </c>
    </row>
    <row r="20" spans="1:12" ht="15" customHeight="1" x14ac:dyDescent="0.25">
      <c r="A20" s="32" t="s">
        <v>172</v>
      </c>
      <c r="B20" s="32" t="s">
        <v>153</v>
      </c>
      <c r="C20" s="32" t="s">
        <v>154</v>
      </c>
      <c r="D20" s="32">
        <v>15</v>
      </c>
      <c r="E20" s="32">
        <v>19.989999999999998</v>
      </c>
      <c r="F20" s="32" t="s">
        <v>173</v>
      </c>
      <c r="G20" s="32">
        <v>43.227200000000003</v>
      </c>
      <c r="H20" s="32">
        <v>1.5871999999999999</v>
      </c>
      <c r="I20" s="32" t="s">
        <v>174</v>
      </c>
      <c r="J20" s="32">
        <v>2</v>
      </c>
      <c r="K20" s="32" t="s">
        <v>175</v>
      </c>
      <c r="L20" s="18">
        <f t="shared" si="0"/>
        <v>999999999</v>
      </c>
    </row>
    <row r="21" spans="1:12" ht="15" customHeight="1" x14ac:dyDescent="0.25">
      <c r="A21" s="32" t="s">
        <v>172</v>
      </c>
      <c r="B21" s="32" t="s">
        <v>176</v>
      </c>
      <c r="C21" s="32" t="s">
        <v>154</v>
      </c>
      <c r="D21" s="32">
        <v>65</v>
      </c>
      <c r="E21" s="32">
        <v>69.989999999999995</v>
      </c>
      <c r="F21" s="32" t="s">
        <v>173</v>
      </c>
      <c r="G21" s="32">
        <v>43.227200000000003</v>
      </c>
      <c r="H21" s="32">
        <v>0.75119999999999998</v>
      </c>
      <c r="I21" s="32" t="s">
        <v>174</v>
      </c>
      <c r="J21" s="32">
        <v>2</v>
      </c>
      <c r="K21" s="32" t="s">
        <v>175</v>
      </c>
      <c r="L21" s="18">
        <f t="shared" si="0"/>
        <v>999999999</v>
      </c>
    </row>
    <row r="22" spans="1:12" ht="15" customHeight="1" x14ac:dyDescent="0.25">
      <c r="A22" s="32" t="s">
        <v>172</v>
      </c>
      <c r="B22" s="32" t="s">
        <v>176</v>
      </c>
      <c r="C22" s="32" t="s">
        <v>154</v>
      </c>
      <c r="D22" s="32">
        <v>45</v>
      </c>
      <c r="E22" s="32">
        <v>49.99</v>
      </c>
      <c r="F22" s="32" t="s">
        <v>173</v>
      </c>
      <c r="G22" s="32">
        <v>43.227200000000003</v>
      </c>
      <c r="H22" s="32">
        <v>0.94120000000000004</v>
      </c>
      <c r="I22" s="32" t="s">
        <v>174</v>
      </c>
      <c r="J22" s="32">
        <v>2</v>
      </c>
      <c r="K22" s="32" t="s">
        <v>175</v>
      </c>
      <c r="L22" s="18">
        <f t="shared" si="0"/>
        <v>999999999</v>
      </c>
    </row>
    <row r="23" spans="1:12" ht="15" customHeight="1" x14ac:dyDescent="0.25">
      <c r="A23" s="32" t="s">
        <v>172</v>
      </c>
      <c r="B23" s="32" t="s">
        <v>176</v>
      </c>
      <c r="C23" s="32" t="s">
        <v>154</v>
      </c>
      <c r="D23" s="32">
        <v>50</v>
      </c>
      <c r="E23" s="32">
        <v>54.99</v>
      </c>
      <c r="F23" s="32" t="s">
        <v>173</v>
      </c>
      <c r="G23" s="32">
        <v>43.227200000000003</v>
      </c>
      <c r="H23" s="32">
        <v>0.82720000000000005</v>
      </c>
      <c r="I23" s="32" t="s">
        <v>174</v>
      </c>
      <c r="J23" s="32">
        <v>2</v>
      </c>
      <c r="K23" s="32" t="s">
        <v>175</v>
      </c>
      <c r="L23" s="18">
        <f t="shared" si="0"/>
        <v>999999999</v>
      </c>
    </row>
    <row r="24" spans="1:12" ht="15" customHeight="1" x14ac:dyDescent="0.25">
      <c r="A24" s="32" t="s">
        <v>172</v>
      </c>
      <c r="B24" s="32" t="s">
        <v>176</v>
      </c>
      <c r="C24" s="32" t="s">
        <v>154</v>
      </c>
      <c r="D24" s="32">
        <v>250</v>
      </c>
      <c r="E24" s="32">
        <v>499.99</v>
      </c>
      <c r="F24" s="32" t="s">
        <v>173</v>
      </c>
      <c r="G24" s="32">
        <v>43.227200000000003</v>
      </c>
      <c r="H24" s="32">
        <v>0.71319999999999995</v>
      </c>
      <c r="I24" s="32" t="s">
        <v>174</v>
      </c>
      <c r="J24" s="32">
        <v>2</v>
      </c>
      <c r="K24" s="32" t="s">
        <v>175</v>
      </c>
      <c r="L24" s="18">
        <f t="shared" si="0"/>
        <v>999999999</v>
      </c>
    </row>
    <row r="25" spans="1:12" ht="15" customHeight="1" x14ac:dyDescent="0.25">
      <c r="A25" s="32" t="s">
        <v>172</v>
      </c>
      <c r="B25" s="32" t="s">
        <v>176</v>
      </c>
      <c r="C25" s="32" t="s">
        <v>154</v>
      </c>
      <c r="D25" s="32">
        <v>500</v>
      </c>
      <c r="E25" s="32">
        <v>1999.99</v>
      </c>
      <c r="F25" s="32" t="s">
        <v>173</v>
      </c>
      <c r="G25" s="32">
        <v>43.227200000000003</v>
      </c>
      <c r="H25" s="32">
        <v>0.67520000000000002</v>
      </c>
      <c r="I25" s="32" t="s">
        <v>174</v>
      </c>
      <c r="J25" s="32">
        <v>2</v>
      </c>
      <c r="K25" s="32" t="s">
        <v>175</v>
      </c>
      <c r="L25" s="18">
        <f t="shared" si="0"/>
        <v>999999999</v>
      </c>
    </row>
    <row r="26" spans="1:12" ht="15" customHeight="1" x14ac:dyDescent="0.25">
      <c r="A26" s="32" t="s">
        <v>172</v>
      </c>
      <c r="B26" s="32" t="s">
        <v>176</v>
      </c>
      <c r="C26" s="32" t="s">
        <v>154</v>
      </c>
      <c r="D26" s="32">
        <v>100</v>
      </c>
      <c r="E26" s="32">
        <v>249.99</v>
      </c>
      <c r="F26" s="32" t="s">
        <v>173</v>
      </c>
      <c r="G26" s="32">
        <v>43.227200000000003</v>
      </c>
      <c r="H26" s="32">
        <v>0.71319999999999995</v>
      </c>
      <c r="I26" s="32" t="s">
        <v>174</v>
      </c>
      <c r="J26" s="32">
        <v>2</v>
      </c>
      <c r="K26" s="32" t="s">
        <v>175</v>
      </c>
      <c r="L26" s="18">
        <f t="shared" si="0"/>
        <v>999999999</v>
      </c>
    </row>
    <row r="27" spans="1:12" ht="15" customHeight="1" x14ac:dyDescent="0.25">
      <c r="A27" s="32" t="s">
        <v>172</v>
      </c>
      <c r="B27" s="32" t="s">
        <v>176</v>
      </c>
      <c r="C27" s="32" t="s">
        <v>154</v>
      </c>
      <c r="D27" s="32">
        <v>40</v>
      </c>
      <c r="E27" s="32">
        <v>44.99</v>
      </c>
      <c r="F27" s="32" t="s">
        <v>173</v>
      </c>
      <c r="G27" s="32">
        <v>43.227200000000003</v>
      </c>
      <c r="H27" s="32">
        <v>0.97919999999999996</v>
      </c>
      <c r="I27" s="32" t="s">
        <v>174</v>
      </c>
      <c r="J27" s="32">
        <v>2</v>
      </c>
      <c r="K27" s="32" t="s">
        <v>175</v>
      </c>
      <c r="L27" s="18">
        <f t="shared" si="0"/>
        <v>999999999</v>
      </c>
    </row>
    <row r="28" spans="1:12" ht="15" customHeight="1" x14ac:dyDescent="0.25">
      <c r="A28" s="32" t="s">
        <v>172</v>
      </c>
      <c r="B28" s="32" t="s">
        <v>176</v>
      </c>
      <c r="C28" s="32" t="s">
        <v>154</v>
      </c>
      <c r="D28" s="32">
        <v>20</v>
      </c>
      <c r="E28" s="32">
        <v>24.99</v>
      </c>
      <c r="F28" s="32" t="s">
        <v>173</v>
      </c>
      <c r="G28" s="32">
        <v>43.227200000000003</v>
      </c>
      <c r="H28" s="32">
        <v>1.3211999999999999</v>
      </c>
      <c r="I28" s="32" t="s">
        <v>174</v>
      </c>
      <c r="J28" s="32">
        <v>2</v>
      </c>
      <c r="K28" s="32" t="s">
        <v>175</v>
      </c>
      <c r="L28" s="18">
        <f t="shared" si="0"/>
        <v>999999999</v>
      </c>
    </row>
    <row r="29" spans="1:12" ht="15" customHeight="1" x14ac:dyDescent="0.25">
      <c r="A29" s="32" t="s">
        <v>172</v>
      </c>
      <c r="B29" s="32" t="s">
        <v>176</v>
      </c>
      <c r="C29" s="32" t="s">
        <v>154</v>
      </c>
      <c r="D29" s="32">
        <v>60</v>
      </c>
      <c r="E29" s="32">
        <v>64.989999999999995</v>
      </c>
      <c r="F29" s="32" t="s">
        <v>173</v>
      </c>
      <c r="G29" s="32">
        <v>43.227200000000003</v>
      </c>
      <c r="H29" s="32">
        <v>0.78920000000000001</v>
      </c>
      <c r="I29" s="32" t="s">
        <v>174</v>
      </c>
      <c r="J29" s="32">
        <v>2</v>
      </c>
      <c r="K29" s="32" t="s">
        <v>175</v>
      </c>
      <c r="L29" s="18">
        <f t="shared" si="0"/>
        <v>999999999</v>
      </c>
    </row>
    <row r="30" spans="1:12" ht="15" customHeight="1" x14ac:dyDescent="0.25">
      <c r="A30" s="32" t="s">
        <v>172</v>
      </c>
      <c r="B30" s="32" t="s">
        <v>176</v>
      </c>
      <c r="C30" s="32" t="s">
        <v>154</v>
      </c>
      <c r="D30" s="32">
        <v>35</v>
      </c>
      <c r="E30" s="32">
        <v>39.99</v>
      </c>
      <c r="F30" s="32" t="s">
        <v>173</v>
      </c>
      <c r="G30" s="32">
        <v>43.227200000000003</v>
      </c>
      <c r="H30" s="32">
        <v>1.0551999999999999</v>
      </c>
      <c r="I30" s="32" t="s">
        <v>174</v>
      </c>
      <c r="J30" s="32">
        <v>2</v>
      </c>
      <c r="K30" s="32" t="s">
        <v>175</v>
      </c>
      <c r="L30" s="18">
        <f t="shared" si="0"/>
        <v>999999999</v>
      </c>
    </row>
    <row r="31" spans="1:12" ht="15" customHeight="1" x14ac:dyDescent="0.25">
      <c r="A31" s="32" t="s">
        <v>172</v>
      </c>
      <c r="B31" s="32" t="s">
        <v>176</v>
      </c>
      <c r="C31" s="32" t="s">
        <v>154</v>
      </c>
      <c r="D31" s="32">
        <v>10</v>
      </c>
      <c r="E31" s="32">
        <v>14.99</v>
      </c>
      <c r="F31" s="32" t="s">
        <v>173</v>
      </c>
      <c r="G31" s="32">
        <v>43.227200000000003</v>
      </c>
      <c r="H31" s="32">
        <v>1.8271999999999999</v>
      </c>
      <c r="I31" s="32" t="s">
        <v>174</v>
      </c>
      <c r="J31" s="32">
        <v>2</v>
      </c>
      <c r="K31" s="32" t="s">
        <v>175</v>
      </c>
      <c r="L31" s="18">
        <f t="shared" si="0"/>
        <v>999999999</v>
      </c>
    </row>
    <row r="32" spans="1:12" ht="15" customHeight="1" x14ac:dyDescent="0.25">
      <c r="A32" s="32" t="s">
        <v>172</v>
      </c>
      <c r="B32" s="32" t="s">
        <v>176</v>
      </c>
      <c r="C32" s="32" t="s">
        <v>154</v>
      </c>
      <c r="D32" s="32">
        <v>0</v>
      </c>
      <c r="E32" s="32">
        <v>4.99</v>
      </c>
      <c r="F32" s="32" t="s">
        <v>173</v>
      </c>
      <c r="G32" s="32">
        <v>43.227200000000003</v>
      </c>
      <c r="H32" s="32">
        <v>1.8271999999999999</v>
      </c>
      <c r="I32" s="32" t="s">
        <v>174</v>
      </c>
      <c r="J32" s="32">
        <v>2</v>
      </c>
      <c r="K32" s="32" t="s">
        <v>175</v>
      </c>
      <c r="L32" s="18">
        <f t="shared" si="0"/>
        <v>999999999</v>
      </c>
    </row>
    <row r="33" spans="1:12" ht="15" customHeight="1" x14ac:dyDescent="0.25">
      <c r="A33" s="32" t="s">
        <v>172</v>
      </c>
      <c r="B33" s="32" t="s">
        <v>176</v>
      </c>
      <c r="C33" s="32" t="s">
        <v>154</v>
      </c>
      <c r="D33" s="32">
        <v>55</v>
      </c>
      <c r="E33" s="32">
        <v>59.99</v>
      </c>
      <c r="F33" s="32" t="s">
        <v>173</v>
      </c>
      <c r="G33" s="32">
        <v>43.227200000000003</v>
      </c>
      <c r="H33" s="32">
        <v>0.82720000000000005</v>
      </c>
      <c r="I33" s="32" t="s">
        <v>174</v>
      </c>
      <c r="J33" s="32">
        <v>2</v>
      </c>
      <c r="K33" s="32" t="s">
        <v>175</v>
      </c>
      <c r="L33" s="18">
        <f t="shared" si="0"/>
        <v>999999999</v>
      </c>
    </row>
    <row r="34" spans="1:12" ht="15" customHeight="1" x14ac:dyDescent="0.25">
      <c r="A34" s="32" t="s">
        <v>172</v>
      </c>
      <c r="B34" s="32" t="s">
        <v>176</v>
      </c>
      <c r="C34" s="32" t="s">
        <v>154</v>
      </c>
      <c r="D34" s="32">
        <v>30</v>
      </c>
      <c r="E34" s="32">
        <v>34.99</v>
      </c>
      <c r="F34" s="32" t="s">
        <v>173</v>
      </c>
      <c r="G34" s="32">
        <v>43.227200000000003</v>
      </c>
      <c r="H34" s="32">
        <v>1.1312</v>
      </c>
      <c r="I34" s="32" t="s">
        <v>174</v>
      </c>
      <c r="J34" s="32">
        <v>2</v>
      </c>
      <c r="K34" s="32" t="s">
        <v>175</v>
      </c>
      <c r="L34" s="18">
        <f t="shared" si="0"/>
        <v>999999999</v>
      </c>
    </row>
    <row r="35" spans="1:12" ht="15" customHeight="1" x14ac:dyDescent="0.25">
      <c r="A35" s="32" t="s">
        <v>172</v>
      </c>
      <c r="B35" s="32" t="s">
        <v>176</v>
      </c>
      <c r="C35" s="32" t="s">
        <v>154</v>
      </c>
      <c r="D35" s="32">
        <v>25</v>
      </c>
      <c r="E35" s="32">
        <v>29.99</v>
      </c>
      <c r="F35" s="32" t="s">
        <v>173</v>
      </c>
      <c r="G35" s="32">
        <v>43.227200000000003</v>
      </c>
      <c r="H35" s="32">
        <v>1.2452000000000001</v>
      </c>
      <c r="I35" s="32" t="s">
        <v>174</v>
      </c>
      <c r="J35" s="32">
        <v>2</v>
      </c>
      <c r="K35" s="32" t="s">
        <v>175</v>
      </c>
      <c r="L35" s="18">
        <f t="shared" si="0"/>
        <v>999999999</v>
      </c>
    </row>
    <row r="36" spans="1:12" ht="15" customHeight="1" x14ac:dyDescent="0.25">
      <c r="A36" s="32" t="s">
        <v>172</v>
      </c>
      <c r="B36" s="32" t="s">
        <v>176</v>
      </c>
      <c r="C36" s="32" t="s">
        <v>154</v>
      </c>
      <c r="D36" s="32">
        <v>5</v>
      </c>
      <c r="E36" s="32">
        <v>9.99</v>
      </c>
      <c r="F36" s="32" t="s">
        <v>173</v>
      </c>
      <c r="G36" s="32">
        <v>43.227200000000003</v>
      </c>
      <c r="H36" s="32">
        <v>1.8271999999999999</v>
      </c>
      <c r="I36" s="32" t="s">
        <v>174</v>
      </c>
      <c r="J36" s="32">
        <v>2</v>
      </c>
      <c r="K36" s="32" t="s">
        <v>175</v>
      </c>
      <c r="L36" s="18">
        <f t="shared" si="0"/>
        <v>999999999</v>
      </c>
    </row>
    <row r="37" spans="1:12" ht="15" customHeight="1" x14ac:dyDescent="0.25">
      <c r="A37" s="32" t="s">
        <v>172</v>
      </c>
      <c r="B37" s="32" t="s">
        <v>176</v>
      </c>
      <c r="C37" s="32" t="s">
        <v>154</v>
      </c>
      <c r="D37" s="32">
        <v>2000</v>
      </c>
      <c r="E37" s="32">
        <v>99999.99</v>
      </c>
      <c r="F37" s="32" t="s">
        <v>173</v>
      </c>
      <c r="G37" s="32">
        <v>43.227200000000003</v>
      </c>
      <c r="H37" s="32">
        <v>0.63719999999999999</v>
      </c>
      <c r="I37" s="32" t="s">
        <v>174</v>
      </c>
      <c r="J37" s="32">
        <v>2</v>
      </c>
      <c r="K37" s="32" t="s">
        <v>175</v>
      </c>
      <c r="L37" s="18">
        <f t="shared" si="0"/>
        <v>999999999</v>
      </c>
    </row>
    <row r="38" spans="1:12" ht="15" customHeight="1" x14ac:dyDescent="0.25">
      <c r="A38" s="32" t="s">
        <v>172</v>
      </c>
      <c r="B38" s="32" t="s">
        <v>176</v>
      </c>
      <c r="C38" s="32" t="s">
        <v>154</v>
      </c>
      <c r="D38" s="32">
        <v>70</v>
      </c>
      <c r="E38" s="32">
        <v>99.99</v>
      </c>
      <c r="F38" s="32" t="s">
        <v>173</v>
      </c>
      <c r="G38" s="32">
        <v>43.227200000000003</v>
      </c>
      <c r="H38" s="32">
        <v>0.75119999999999998</v>
      </c>
      <c r="I38" s="32" t="s">
        <v>174</v>
      </c>
      <c r="J38" s="32">
        <v>2</v>
      </c>
      <c r="K38" s="32" t="s">
        <v>175</v>
      </c>
      <c r="L38" s="18">
        <f t="shared" si="0"/>
        <v>999999999</v>
      </c>
    </row>
    <row r="39" spans="1:12" ht="15" customHeight="1" x14ac:dyDescent="0.25">
      <c r="A39" s="32" t="s">
        <v>172</v>
      </c>
      <c r="B39" s="32" t="s">
        <v>176</v>
      </c>
      <c r="C39" s="32" t="s">
        <v>154</v>
      </c>
      <c r="D39" s="32">
        <v>15</v>
      </c>
      <c r="E39" s="32">
        <v>19.989999999999998</v>
      </c>
      <c r="F39" s="32" t="s">
        <v>173</v>
      </c>
      <c r="G39" s="32">
        <v>43.227200000000003</v>
      </c>
      <c r="H39" s="32">
        <v>1.5871999999999999</v>
      </c>
      <c r="I39" s="32" t="s">
        <v>174</v>
      </c>
      <c r="J39" s="32">
        <v>2</v>
      </c>
      <c r="K39" s="32" t="s">
        <v>175</v>
      </c>
      <c r="L39" s="18">
        <f t="shared" si="0"/>
        <v>999999999</v>
      </c>
    </row>
    <row r="40" spans="1:12" ht="15" customHeight="1" x14ac:dyDescent="0.25">
      <c r="A40" s="32" t="s">
        <v>177</v>
      </c>
      <c r="B40" s="32" t="s">
        <v>154</v>
      </c>
      <c r="C40" s="32" t="s">
        <v>154</v>
      </c>
      <c r="D40" s="32">
        <v>500</v>
      </c>
      <c r="E40" s="32">
        <v>1999.99</v>
      </c>
      <c r="F40" s="32" t="s">
        <v>173</v>
      </c>
      <c r="G40" s="32">
        <v>17.688800000000001</v>
      </c>
      <c r="H40" s="32">
        <v>3.32E-2</v>
      </c>
      <c r="I40" s="32" t="s">
        <v>174</v>
      </c>
      <c r="J40" s="32">
        <v>14</v>
      </c>
      <c r="K40" s="32" t="s">
        <v>175</v>
      </c>
      <c r="L40" s="18">
        <f t="shared" si="0"/>
        <v>999999999</v>
      </c>
    </row>
    <row r="41" spans="1:12" ht="15" customHeight="1" x14ac:dyDescent="0.25">
      <c r="A41" s="32" t="s">
        <v>177</v>
      </c>
      <c r="B41" s="32" t="s">
        <v>154</v>
      </c>
      <c r="C41" s="32" t="s">
        <v>154</v>
      </c>
      <c r="D41" s="32">
        <v>2000</v>
      </c>
      <c r="E41" s="32">
        <v>99999.99</v>
      </c>
      <c r="F41" s="32" t="s">
        <v>173</v>
      </c>
      <c r="G41" s="32">
        <v>17.688800000000001</v>
      </c>
      <c r="H41" s="32">
        <v>3.32E-2</v>
      </c>
      <c r="I41" s="32" t="s">
        <v>174</v>
      </c>
      <c r="J41" s="32">
        <v>14</v>
      </c>
      <c r="K41" s="32" t="s">
        <v>175</v>
      </c>
      <c r="L41" s="18">
        <f t="shared" si="0"/>
        <v>999999999</v>
      </c>
    </row>
    <row r="42" spans="1:12" ht="15" customHeight="1" x14ac:dyDescent="0.25">
      <c r="A42" s="32" t="s">
        <v>177</v>
      </c>
      <c r="B42" s="32" t="s">
        <v>154</v>
      </c>
      <c r="C42" s="32" t="s">
        <v>154</v>
      </c>
      <c r="D42" s="32">
        <v>0</v>
      </c>
      <c r="E42" s="32">
        <v>99.99</v>
      </c>
      <c r="F42" s="32" t="s">
        <v>173</v>
      </c>
      <c r="G42" s="32">
        <v>17.688800000000001</v>
      </c>
      <c r="H42" s="32">
        <v>3.32E-2</v>
      </c>
      <c r="I42" s="32" t="s">
        <v>174</v>
      </c>
      <c r="J42" s="32">
        <v>14</v>
      </c>
      <c r="K42" s="32" t="s">
        <v>175</v>
      </c>
      <c r="L42" s="18">
        <f t="shared" si="0"/>
        <v>999999999</v>
      </c>
    </row>
    <row r="43" spans="1:12" ht="15" customHeight="1" x14ac:dyDescent="0.25">
      <c r="A43" s="32" t="s">
        <v>177</v>
      </c>
      <c r="B43" s="32" t="s">
        <v>154</v>
      </c>
      <c r="C43" s="32" t="s">
        <v>154</v>
      </c>
      <c r="D43" s="32">
        <v>250</v>
      </c>
      <c r="E43" s="32">
        <v>499.99</v>
      </c>
      <c r="F43" s="32" t="s">
        <v>173</v>
      </c>
      <c r="G43" s="32">
        <v>17.688800000000001</v>
      </c>
      <c r="H43" s="32">
        <v>3.32E-2</v>
      </c>
      <c r="I43" s="32" t="s">
        <v>174</v>
      </c>
      <c r="J43" s="32">
        <v>14</v>
      </c>
      <c r="K43" s="32" t="s">
        <v>175</v>
      </c>
      <c r="L43" s="18">
        <f t="shared" si="0"/>
        <v>999999999</v>
      </c>
    </row>
    <row r="44" spans="1:12" ht="15" customHeight="1" x14ac:dyDescent="0.25">
      <c r="A44" s="32" t="s">
        <v>177</v>
      </c>
      <c r="B44" s="32" t="s">
        <v>154</v>
      </c>
      <c r="C44" s="32" t="s">
        <v>154</v>
      </c>
      <c r="D44" s="32">
        <v>100</v>
      </c>
      <c r="E44" s="32">
        <v>249.99</v>
      </c>
      <c r="F44" s="32" t="s">
        <v>173</v>
      </c>
      <c r="G44" s="32">
        <v>17.688800000000001</v>
      </c>
      <c r="H44" s="32">
        <v>3.32E-2</v>
      </c>
      <c r="I44" s="32" t="s">
        <v>174</v>
      </c>
      <c r="J44" s="32">
        <v>14</v>
      </c>
      <c r="K44" s="32" t="s">
        <v>175</v>
      </c>
      <c r="L44" s="18">
        <f t="shared" si="0"/>
        <v>999999999</v>
      </c>
    </row>
    <row r="45" spans="1:12" ht="15" customHeight="1" x14ac:dyDescent="0.25">
      <c r="A45" s="32" t="s">
        <v>177</v>
      </c>
      <c r="B45" s="32" t="s">
        <v>178</v>
      </c>
      <c r="C45" s="32" t="s">
        <v>154</v>
      </c>
      <c r="D45" s="32">
        <v>0</v>
      </c>
      <c r="E45" s="32">
        <v>99.99</v>
      </c>
      <c r="F45" s="32" t="s">
        <v>173</v>
      </c>
      <c r="G45" s="32">
        <v>11.1112</v>
      </c>
      <c r="H45" s="32">
        <v>0.1</v>
      </c>
      <c r="I45" s="32" t="s">
        <v>174</v>
      </c>
      <c r="J45" s="32">
        <v>14</v>
      </c>
      <c r="K45" s="32" t="s">
        <v>175</v>
      </c>
      <c r="L45" s="18">
        <f t="shared" si="0"/>
        <v>999999999</v>
      </c>
    </row>
    <row r="46" spans="1:12" ht="15" customHeight="1" x14ac:dyDescent="0.25">
      <c r="A46" s="32" t="s">
        <v>177</v>
      </c>
      <c r="B46" s="32" t="s">
        <v>178</v>
      </c>
      <c r="C46" s="32" t="s">
        <v>154</v>
      </c>
      <c r="D46" s="32">
        <v>2000</v>
      </c>
      <c r="E46" s="32">
        <v>99999.99</v>
      </c>
      <c r="F46" s="32" t="s">
        <v>173</v>
      </c>
      <c r="G46" s="32">
        <v>11.1112</v>
      </c>
      <c r="H46" s="32">
        <v>9.2399999999999996E-2</v>
      </c>
      <c r="I46" s="32" t="s">
        <v>174</v>
      </c>
      <c r="J46" s="32">
        <v>14</v>
      </c>
      <c r="K46" s="32" t="s">
        <v>175</v>
      </c>
      <c r="L46" s="18">
        <f t="shared" si="0"/>
        <v>999999999</v>
      </c>
    </row>
    <row r="47" spans="1:12" ht="15" customHeight="1" x14ac:dyDescent="0.25">
      <c r="A47" s="32" t="s">
        <v>177</v>
      </c>
      <c r="B47" s="32" t="s">
        <v>178</v>
      </c>
      <c r="C47" s="32" t="s">
        <v>154</v>
      </c>
      <c r="D47" s="32">
        <v>250</v>
      </c>
      <c r="E47" s="32">
        <v>499.99</v>
      </c>
      <c r="F47" s="32" t="s">
        <v>173</v>
      </c>
      <c r="G47" s="32">
        <v>11.1112</v>
      </c>
      <c r="H47" s="32">
        <v>9.2399999999999996E-2</v>
      </c>
      <c r="I47" s="32" t="s">
        <v>174</v>
      </c>
      <c r="J47" s="32">
        <v>14</v>
      </c>
      <c r="K47" s="32" t="s">
        <v>175</v>
      </c>
      <c r="L47" s="18">
        <f t="shared" si="0"/>
        <v>999999999</v>
      </c>
    </row>
    <row r="48" spans="1:12" ht="15" customHeight="1" x14ac:dyDescent="0.25">
      <c r="A48" s="32" t="s">
        <v>177</v>
      </c>
      <c r="B48" s="32" t="s">
        <v>178</v>
      </c>
      <c r="C48" s="32" t="s">
        <v>154</v>
      </c>
      <c r="D48" s="32">
        <v>100</v>
      </c>
      <c r="E48" s="32">
        <v>249.99</v>
      </c>
      <c r="F48" s="32" t="s">
        <v>173</v>
      </c>
      <c r="G48" s="32">
        <v>11.1112</v>
      </c>
      <c r="H48" s="32">
        <v>0.1</v>
      </c>
      <c r="I48" s="32" t="s">
        <v>174</v>
      </c>
      <c r="J48" s="32">
        <v>14</v>
      </c>
      <c r="K48" s="32" t="s">
        <v>175</v>
      </c>
      <c r="L48" s="18">
        <f t="shared" si="0"/>
        <v>999999999</v>
      </c>
    </row>
    <row r="49" spans="1:12" ht="15" customHeight="1" x14ac:dyDescent="0.25">
      <c r="A49" s="32" t="s">
        <v>177</v>
      </c>
      <c r="B49" s="32" t="s">
        <v>178</v>
      </c>
      <c r="C49" s="32" t="s">
        <v>154</v>
      </c>
      <c r="D49" s="32">
        <v>500</v>
      </c>
      <c r="E49" s="32">
        <v>1999.99</v>
      </c>
      <c r="F49" s="32" t="s">
        <v>173</v>
      </c>
      <c r="G49" s="32">
        <v>11.1112</v>
      </c>
      <c r="H49" s="32">
        <v>9.2399999999999996E-2</v>
      </c>
      <c r="I49" s="32" t="s">
        <v>174</v>
      </c>
      <c r="J49" s="32">
        <v>14</v>
      </c>
      <c r="K49" s="32" t="s">
        <v>175</v>
      </c>
      <c r="L49" s="18">
        <f t="shared" si="0"/>
        <v>999999999</v>
      </c>
    </row>
    <row r="50" spans="1:12" ht="15" customHeight="1" x14ac:dyDescent="0.25">
      <c r="A50" s="32" t="s">
        <v>177</v>
      </c>
      <c r="B50" s="32" t="s">
        <v>59</v>
      </c>
      <c r="C50" s="32" t="s">
        <v>154</v>
      </c>
      <c r="D50" s="32">
        <v>100</v>
      </c>
      <c r="E50" s="32">
        <v>249.99</v>
      </c>
      <c r="F50" s="32" t="s">
        <v>173</v>
      </c>
      <c r="G50" s="32">
        <v>21.470400000000001</v>
      </c>
      <c r="H50" s="32">
        <v>6.2E-2</v>
      </c>
      <c r="I50" s="32" t="s">
        <v>174</v>
      </c>
      <c r="J50" s="32">
        <v>14</v>
      </c>
      <c r="K50" s="32" t="s">
        <v>175</v>
      </c>
      <c r="L50" s="18">
        <f t="shared" si="0"/>
        <v>999999999</v>
      </c>
    </row>
    <row r="51" spans="1:12" ht="15" customHeight="1" x14ac:dyDescent="0.25">
      <c r="A51" s="32" t="s">
        <v>177</v>
      </c>
      <c r="B51" s="32" t="s">
        <v>59</v>
      </c>
      <c r="C51" s="32" t="s">
        <v>154</v>
      </c>
      <c r="D51" s="32">
        <v>0</v>
      </c>
      <c r="E51" s="32">
        <v>99.99</v>
      </c>
      <c r="F51" s="32" t="s">
        <v>173</v>
      </c>
      <c r="G51" s="32">
        <v>21.470400000000001</v>
      </c>
      <c r="H51" s="32">
        <v>6.2E-2</v>
      </c>
      <c r="I51" s="32" t="s">
        <v>174</v>
      </c>
      <c r="J51" s="32">
        <v>14</v>
      </c>
      <c r="K51" s="32" t="s">
        <v>175</v>
      </c>
      <c r="L51" s="18">
        <f t="shared" si="0"/>
        <v>999999999</v>
      </c>
    </row>
    <row r="52" spans="1:12" ht="15" customHeight="1" x14ac:dyDescent="0.25">
      <c r="A52" s="32" t="s">
        <v>177</v>
      </c>
      <c r="B52" s="32" t="s">
        <v>59</v>
      </c>
      <c r="C52" s="32" t="s">
        <v>154</v>
      </c>
      <c r="D52" s="32">
        <v>500</v>
      </c>
      <c r="E52" s="32">
        <v>1999.99</v>
      </c>
      <c r="F52" s="32" t="s">
        <v>173</v>
      </c>
      <c r="G52" s="32">
        <v>21.470400000000001</v>
      </c>
      <c r="H52" s="32">
        <v>6.2E-2</v>
      </c>
      <c r="I52" s="32" t="s">
        <v>174</v>
      </c>
      <c r="J52" s="32">
        <v>14</v>
      </c>
      <c r="K52" s="32" t="s">
        <v>175</v>
      </c>
      <c r="L52" s="18">
        <f t="shared" si="0"/>
        <v>999999999</v>
      </c>
    </row>
    <row r="53" spans="1:12" ht="15" customHeight="1" x14ac:dyDescent="0.25">
      <c r="A53" s="32" t="s">
        <v>177</v>
      </c>
      <c r="B53" s="32" t="s">
        <v>59</v>
      </c>
      <c r="C53" s="32" t="s">
        <v>154</v>
      </c>
      <c r="D53" s="32">
        <v>250</v>
      </c>
      <c r="E53" s="32">
        <v>499.99</v>
      </c>
      <c r="F53" s="32" t="s">
        <v>173</v>
      </c>
      <c r="G53" s="32">
        <v>21.470400000000001</v>
      </c>
      <c r="H53" s="32">
        <v>6.2E-2</v>
      </c>
      <c r="I53" s="32" t="s">
        <v>174</v>
      </c>
      <c r="J53" s="32">
        <v>14</v>
      </c>
      <c r="K53" s="32" t="s">
        <v>175</v>
      </c>
      <c r="L53" s="18">
        <f t="shared" si="0"/>
        <v>999999999</v>
      </c>
    </row>
    <row r="54" spans="1:12" ht="15" customHeight="1" x14ac:dyDescent="0.25">
      <c r="A54" s="32" t="s">
        <v>177</v>
      </c>
      <c r="B54" s="32" t="s">
        <v>59</v>
      </c>
      <c r="C54" s="32" t="s">
        <v>154</v>
      </c>
      <c r="D54" s="32">
        <v>2000</v>
      </c>
      <c r="E54" s="32">
        <v>99999.99</v>
      </c>
      <c r="F54" s="32" t="s">
        <v>173</v>
      </c>
      <c r="G54" s="32">
        <v>21.470400000000001</v>
      </c>
      <c r="H54" s="32">
        <v>6.2E-2</v>
      </c>
      <c r="I54" s="32" t="s">
        <v>174</v>
      </c>
      <c r="J54" s="32">
        <v>14</v>
      </c>
      <c r="K54" s="32" t="s">
        <v>175</v>
      </c>
      <c r="L54" s="18">
        <f t="shared" si="0"/>
        <v>50786.230499999998</v>
      </c>
    </row>
    <row r="55" spans="1:12" ht="15" customHeight="1" x14ac:dyDescent="0.25">
      <c r="A55" s="32" t="s">
        <v>179</v>
      </c>
      <c r="B55" s="32" t="s">
        <v>153</v>
      </c>
      <c r="C55" s="32" t="s">
        <v>154</v>
      </c>
      <c r="D55" s="32">
        <v>5000</v>
      </c>
      <c r="E55" s="32">
        <v>9999.99</v>
      </c>
      <c r="F55" s="32" t="s">
        <v>173</v>
      </c>
      <c r="G55" s="32">
        <v>231.30719999999999</v>
      </c>
      <c r="H55" s="32">
        <v>0.1036</v>
      </c>
      <c r="I55" s="32" t="s">
        <v>174</v>
      </c>
      <c r="J55" s="32">
        <v>14</v>
      </c>
      <c r="K55" s="32" t="s">
        <v>175</v>
      </c>
      <c r="L55" s="18">
        <f t="shared" si="0"/>
        <v>999999999</v>
      </c>
    </row>
    <row r="56" spans="1:12" ht="15" customHeight="1" x14ac:dyDescent="0.25">
      <c r="A56" s="32" t="s">
        <v>179</v>
      </c>
      <c r="B56" s="32" t="s">
        <v>153</v>
      </c>
      <c r="C56" s="32" t="s">
        <v>154</v>
      </c>
      <c r="D56" s="32">
        <v>1000</v>
      </c>
      <c r="E56" s="32">
        <v>4999.99</v>
      </c>
      <c r="F56" s="32" t="s">
        <v>173</v>
      </c>
      <c r="G56" s="32">
        <v>231.30719999999999</v>
      </c>
      <c r="H56" s="32">
        <v>0.1116</v>
      </c>
      <c r="I56" s="32" t="s">
        <v>174</v>
      </c>
      <c r="J56" s="32">
        <v>14</v>
      </c>
      <c r="K56" s="32" t="s">
        <v>175</v>
      </c>
      <c r="L56" s="18">
        <f t="shared" si="0"/>
        <v>999999999</v>
      </c>
    </row>
    <row r="57" spans="1:12" ht="15" customHeight="1" x14ac:dyDescent="0.25">
      <c r="A57" s="32" t="s">
        <v>179</v>
      </c>
      <c r="B57" s="32" t="s">
        <v>153</v>
      </c>
      <c r="C57" s="32" t="s">
        <v>154</v>
      </c>
      <c r="D57" s="32">
        <v>0</v>
      </c>
      <c r="E57" s="32">
        <v>499.99</v>
      </c>
      <c r="F57" s="32" t="s">
        <v>173</v>
      </c>
      <c r="G57" s="32">
        <v>231.30719999999999</v>
      </c>
      <c r="H57" s="32">
        <v>0.188</v>
      </c>
      <c r="I57" s="32" t="s">
        <v>174</v>
      </c>
      <c r="J57" s="32">
        <v>14</v>
      </c>
      <c r="K57" s="32" t="s">
        <v>175</v>
      </c>
      <c r="L57" s="18">
        <f t="shared" si="0"/>
        <v>999999999</v>
      </c>
    </row>
    <row r="58" spans="1:12" ht="15" customHeight="1" x14ac:dyDescent="0.25">
      <c r="A58" s="32" t="s">
        <v>179</v>
      </c>
      <c r="B58" s="32" t="s">
        <v>153</v>
      </c>
      <c r="C58" s="32" t="s">
        <v>154</v>
      </c>
      <c r="D58" s="32">
        <v>500</v>
      </c>
      <c r="E58" s="32">
        <v>999.99</v>
      </c>
      <c r="F58" s="32" t="s">
        <v>173</v>
      </c>
      <c r="G58" s="32">
        <v>231.30719999999999</v>
      </c>
      <c r="H58" s="32">
        <v>0.12239999999999999</v>
      </c>
      <c r="I58" s="32" t="s">
        <v>174</v>
      </c>
      <c r="J58" s="32">
        <v>14</v>
      </c>
      <c r="K58" s="32" t="s">
        <v>175</v>
      </c>
      <c r="L58" s="18">
        <f t="shared" si="0"/>
        <v>999999999</v>
      </c>
    </row>
    <row r="59" spans="1:12" ht="15" customHeight="1" x14ac:dyDescent="0.25">
      <c r="A59" s="32" t="s">
        <v>179</v>
      </c>
      <c r="B59" s="32" t="s">
        <v>153</v>
      </c>
      <c r="C59" s="32" t="s">
        <v>154</v>
      </c>
      <c r="D59" s="32">
        <v>10000</v>
      </c>
      <c r="E59" s="32">
        <v>99999.99</v>
      </c>
      <c r="F59" s="32" t="s">
        <v>173</v>
      </c>
      <c r="G59" s="32">
        <v>231.30719999999999</v>
      </c>
      <c r="H59" s="32">
        <v>0.10199999999999999</v>
      </c>
      <c r="I59" s="32" t="s">
        <v>174</v>
      </c>
      <c r="J59" s="32">
        <v>14</v>
      </c>
      <c r="K59" s="32" t="s">
        <v>175</v>
      </c>
      <c r="L59" s="18">
        <f t="shared" si="0"/>
        <v>999999999</v>
      </c>
    </row>
    <row r="60" spans="1:12" ht="15" customHeight="1" x14ac:dyDescent="0.25">
      <c r="A60" s="32" t="s">
        <v>177</v>
      </c>
      <c r="B60" s="32" t="s">
        <v>52</v>
      </c>
      <c r="C60" s="32" t="s">
        <v>154</v>
      </c>
      <c r="D60" s="32">
        <v>100</v>
      </c>
      <c r="E60" s="32">
        <v>249.99</v>
      </c>
      <c r="F60" s="32" t="s">
        <v>173</v>
      </c>
      <c r="G60" s="32">
        <v>17.515599999999999</v>
      </c>
      <c r="H60" s="32">
        <v>4.8399999999999999E-2</v>
      </c>
      <c r="I60" s="32" t="s">
        <v>174</v>
      </c>
      <c r="J60" s="32">
        <v>14</v>
      </c>
      <c r="K60" s="32" t="s">
        <v>175</v>
      </c>
      <c r="L60" s="18">
        <f t="shared" si="0"/>
        <v>999999999</v>
      </c>
    </row>
    <row r="61" spans="1:12" ht="15" customHeight="1" x14ac:dyDescent="0.25">
      <c r="A61" s="32" t="s">
        <v>177</v>
      </c>
      <c r="B61" s="32" t="s">
        <v>52</v>
      </c>
      <c r="C61" s="32" t="s">
        <v>154</v>
      </c>
      <c r="D61" s="32">
        <v>0</v>
      </c>
      <c r="E61" s="32">
        <v>99.99</v>
      </c>
      <c r="F61" s="32" t="s">
        <v>173</v>
      </c>
      <c r="G61" s="32">
        <v>17.515599999999999</v>
      </c>
      <c r="H61" s="32">
        <v>4.8399999999999999E-2</v>
      </c>
      <c r="I61" s="32" t="s">
        <v>174</v>
      </c>
      <c r="J61" s="32">
        <v>14</v>
      </c>
      <c r="K61" s="32" t="s">
        <v>175</v>
      </c>
      <c r="L61" s="18">
        <f t="shared" si="0"/>
        <v>999999999</v>
      </c>
    </row>
    <row r="62" spans="1:12" ht="15" customHeight="1" x14ac:dyDescent="0.25">
      <c r="A62" s="32" t="s">
        <v>177</v>
      </c>
      <c r="B62" s="32" t="s">
        <v>52</v>
      </c>
      <c r="C62" s="32" t="s">
        <v>154</v>
      </c>
      <c r="D62" s="32">
        <v>250</v>
      </c>
      <c r="E62" s="32">
        <v>499.99</v>
      </c>
      <c r="F62" s="32" t="s">
        <v>173</v>
      </c>
      <c r="G62" s="32">
        <v>17.515599999999999</v>
      </c>
      <c r="H62" s="32">
        <v>4.8399999999999999E-2</v>
      </c>
      <c r="I62" s="32" t="s">
        <v>174</v>
      </c>
      <c r="J62" s="32">
        <v>14</v>
      </c>
      <c r="K62" s="32" t="s">
        <v>175</v>
      </c>
      <c r="L62" s="18">
        <f t="shared" si="0"/>
        <v>999999999</v>
      </c>
    </row>
    <row r="63" spans="1:12" ht="15" customHeight="1" x14ac:dyDescent="0.25">
      <c r="A63" s="32" t="s">
        <v>177</v>
      </c>
      <c r="B63" s="32" t="s">
        <v>52</v>
      </c>
      <c r="C63" s="32" t="s">
        <v>154</v>
      </c>
      <c r="D63" s="32">
        <v>2000</v>
      </c>
      <c r="E63" s="32">
        <v>99999.99</v>
      </c>
      <c r="F63" s="32" t="s">
        <v>173</v>
      </c>
      <c r="G63" s="32">
        <v>17.515599999999999</v>
      </c>
      <c r="H63" s="32">
        <v>4.8399999999999999E-2</v>
      </c>
      <c r="I63" s="32" t="s">
        <v>174</v>
      </c>
      <c r="J63" s="32">
        <v>14</v>
      </c>
      <c r="K63" s="32" t="s">
        <v>175</v>
      </c>
      <c r="L63" s="18">
        <f t="shared" si="0"/>
        <v>999999999</v>
      </c>
    </row>
    <row r="64" spans="1:12" ht="15" customHeight="1" x14ac:dyDescent="0.25">
      <c r="A64" s="32" t="s">
        <v>177</v>
      </c>
      <c r="B64" s="32" t="s">
        <v>52</v>
      </c>
      <c r="C64" s="32" t="s">
        <v>154</v>
      </c>
      <c r="D64" s="32">
        <v>500</v>
      </c>
      <c r="E64" s="32">
        <v>1999.99</v>
      </c>
      <c r="F64" s="32" t="s">
        <v>173</v>
      </c>
      <c r="G64" s="32">
        <v>17.515599999999999</v>
      </c>
      <c r="H64" s="32">
        <v>4.8399999999999999E-2</v>
      </c>
      <c r="I64" s="32" t="s">
        <v>174</v>
      </c>
      <c r="J64" s="32">
        <v>14</v>
      </c>
      <c r="K64" s="32" t="s">
        <v>175</v>
      </c>
      <c r="L64" s="18">
        <f t="shared" si="0"/>
        <v>999999999</v>
      </c>
    </row>
    <row r="65" spans="1:12" ht="15" customHeight="1" x14ac:dyDescent="0.25">
      <c r="A65" s="32" t="s">
        <v>177</v>
      </c>
      <c r="B65" s="32" t="s">
        <v>70</v>
      </c>
      <c r="C65" s="32" t="s">
        <v>154</v>
      </c>
      <c r="D65" s="32">
        <v>2000</v>
      </c>
      <c r="E65" s="32">
        <v>99999.99</v>
      </c>
      <c r="F65" s="32" t="s">
        <v>173</v>
      </c>
      <c r="G65" s="32">
        <v>19.3644</v>
      </c>
      <c r="H65" s="32">
        <v>0.11559999999999999</v>
      </c>
      <c r="I65" s="32" t="s">
        <v>174</v>
      </c>
      <c r="J65" s="32">
        <v>14</v>
      </c>
      <c r="K65" s="32" t="s">
        <v>175</v>
      </c>
      <c r="L65" s="18">
        <f t="shared" si="0"/>
        <v>999999999</v>
      </c>
    </row>
    <row r="66" spans="1:12" ht="15" customHeight="1" x14ac:dyDescent="0.25">
      <c r="A66" s="32" t="s">
        <v>177</v>
      </c>
      <c r="B66" s="32" t="s">
        <v>70</v>
      </c>
      <c r="C66" s="32" t="s">
        <v>154</v>
      </c>
      <c r="D66" s="32">
        <v>250</v>
      </c>
      <c r="E66" s="32">
        <v>499.99</v>
      </c>
      <c r="F66" s="32" t="s">
        <v>173</v>
      </c>
      <c r="G66" s="32">
        <v>19.3644</v>
      </c>
      <c r="H66" s="32">
        <v>0.11559999999999999</v>
      </c>
      <c r="I66" s="32" t="s">
        <v>174</v>
      </c>
      <c r="J66" s="32">
        <v>14</v>
      </c>
      <c r="K66" s="32" t="s">
        <v>175</v>
      </c>
      <c r="L66" s="18">
        <f t="shared" ref="L66:L129" si="1">IF(AND(B66=Quote_Port,D66&lt;=Quote_Weight,Quote_Weight&lt;=E66,OR(Quote_2Day="No",J66&lt;=2)),MAX(G66,Quote_Weight*H66)*Quote_USDINR,999999999)</f>
        <v>999999999</v>
      </c>
    </row>
    <row r="67" spans="1:12" ht="15" customHeight="1" x14ac:dyDescent="0.25">
      <c r="A67" s="32" t="s">
        <v>177</v>
      </c>
      <c r="B67" s="32" t="s">
        <v>70</v>
      </c>
      <c r="C67" s="32" t="s">
        <v>154</v>
      </c>
      <c r="D67" s="32">
        <v>100</v>
      </c>
      <c r="E67" s="32">
        <v>249.99</v>
      </c>
      <c r="F67" s="32" t="s">
        <v>173</v>
      </c>
      <c r="G67" s="32">
        <v>19.3644</v>
      </c>
      <c r="H67" s="32">
        <v>0.11559999999999999</v>
      </c>
      <c r="I67" s="32" t="s">
        <v>174</v>
      </c>
      <c r="J67" s="32">
        <v>14</v>
      </c>
      <c r="K67" s="32" t="s">
        <v>175</v>
      </c>
      <c r="L67" s="18">
        <f t="shared" si="1"/>
        <v>999999999</v>
      </c>
    </row>
    <row r="68" spans="1:12" ht="15" customHeight="1" x14ac:dyDescent="0.25">
      <c r="A68" s="32" t="s">
        <v>177</v>
      </c>
      <c r="B68" s="32" t="s">
        <v>70</v>
      </c>
      <c r="C68" s="32" t="s">
        <v>154</v>
      </c>
      <c r="D68" s="32">
        <v>500</v>
      </c>
      <c r="E68" s="32">
        <v>1999.99</v>
      </c>
      <c r="F68" s="32" t="s">
        <v>173</v>
      </c>
      <c r="G68" s="32">
        <v>19.3644</v>
      </c>
      <c r="H68" s="32">
        <v>0.11559999999999999</v>
      </c>
      <c r="I68" s="32" t="s">
        <v>174</v>
      </c>
      <c r="J68" s="32">
        <v>14</v>
      </c>
      <c r="K68" s="32" t="s">
        <v>175</v>
      </c>
      <c r="L68" s="18">
        <f t="shared" si="1"/>
        <v>999999999</v>
      </c>
    </row>
    <row r="69" spans="1:12" ht="15" customHeight="1" x14ac:dyDescent="0.25">
      <c r="A69" s="32" t="s">
        <v>177</v>
      </c>
      <c r="B69" s="32" t="s">
        <v>70</v>
      </c>
      <c r="C69" s="32" t="s">
        <v>154</v>
      </c>
      <c r="D69" s="32">
        <v>0</v>
      </c>
      <c r="E69" s="32">
        <v>99.99</v>
      </c>
      <c r="F69" s="32" t="s">
        <v>173</v>
      </c>
      <c r="G69" s="32">
        <v>19.3644</v>
      </c>
      <c r="H69" s="32">
        <v>0.11559999999999999</v>
      </c>
      <c r="I69" s="32" t="s">
        <v>174</v>
      </c>
      <c r="J69" s="32">
        <v>14</v>
      </c>
      <c r="K69" s="32" t="s">
        <v>175</v>
      </c>
      <c r="L69" s="18">
        <f t="shared" si="1"/>
        <v>999999999</v>
      </c>
    </row>
    <row r="70" spans="1:12" ht="15" customHeight="1" x14ac:dyDescent="0.25">
      <c r="A70" s="32" t="s">
        <v>180</v>
      </c>
      <c r="B70" s="32" t="s">
        <v>178</v>
      </c>
      <c r="C70" s="32" t="s">
        <v>154</v>
      </c>
      <c r="D70" s="32">
        <v>500</v>
      </c>
      <c r="E70" s="32">
        <v>1999.99</v>
      </c>
      <c r="F70" s="32" t="s">
        <v>173</v>
      </c>
      <c r="G70" s="32">
        <v>15.2272</v>
      </c>
      <c r="H70" s="32">
        <v>7.6799999999999993E-2</v>
      </c>
      <c r="I70" s="32" t="s">
        <v>174</v>
      </c>
      <c r="J70" s="32">
        <v>6</v>
      </c>
      <c r="K70" s="32" t="s">
        <v>175</v>
      </c>
      <c r="L70" s="18">
        <f t="shared" si="1"/>
        <v>999999999</v>
      </c>
    </row>
    <row r="71" spans="1:12" ht="15" customHeight="1" x14ac:dyDescent="0.25">
      <c r="A71" s="32" t="s">
        <v>180</v>
      </c>
      <c r="B71" s="32" t="s">
        <v>178</v>
      </c>
      <c r="C71" s="32" t="s">
        <v>154</v>
      </c>
      <c r="D71" s="32">
        <v>2000</v>
      </c>
      <c r="E71" s="32">
        <v>99999.99</v>
      </c>
      <c r="F71" s="32" t="s">
        <v>173</v>
      </c>
      <c r="G71" s="32">
        <v>15.2272</v>
      </c>
      <c r="H71" s="32">
        <v>7.6399999999999996E-2</v>
      </c>
      <c r="I71" s="32" t="s">
        <v>174</v>
      </c>
      <c r="J71" s="32">
        <v>6</v>
      </c>
      <c r="K71" s="32" t="s">
        <v>175</v>
      </c>
      <c r="L71" s="18">
        <f t="shared" si="1"/>
        <v>999999999</v>
      </c>
    </row>
    <row r="72" spans="1:12" ht="15" customHeight="1" x14ac:dyDescent="0.25">
      <c r="A72" s="32" t="s">
        <v>180</v>
      </c>
      <c r="B72" s="32" t="s">
        <v>178</v>
      </c>
      <c r="C72" s="32" t="s">
        <v>154</v>
      </c>
      <c r="D72" s="32">
        <v>0</v>
      </c>
      <c r="E72" s="32">
        <v>99.99</v>
      </c>
      <c r="F72" s="32" t="s">
        <v>173</v>
      </c>
      <c r="G72" s="32">
        <v>15.2272</v>
      </c>
      <c r="H72" s="32">
        <v>0.19320000000000001</v>
      </c>
      <c r="I72" s="32" t="s">
        <v>174</v>
      </c>
      <c r="J72" s="32">
        <v>6</v>
      </c>
      <c r="K72" s="32" t="s">
        <v>175</v>
      </c>
      <c r="L72" s="18">
        <f t="shared" si="1"/>
        <v>999999999</v>
      </c>
    </row>
    <row r="73" spans="1:12" ht="15" customHeight="1" x14ac:dyDescent="0.25">
      <c r="A73" s="32" t="s">
        <v>180</v>
      </c>
      <c r="B73" s="32" t="s">
        <v>178</v>
      </c>
      <c r="C73" s="32" t="s">
        <v>154</v>
      </c>
      <c r="D73" s="32">
        <v>250</v>
      </c>
      <c r="E73" s="32">
        <v>499.99</v>
      </c>
      <c r="F73" s="32" t="s">
        <v>173</v>
      </c>
      <c r="G73" s="32">
        <v>15.2272</v>
      </c>
      <c r="H73" s="32">
        <v>8.2400000000000001E-2</v>
      </c>
      <c r="I73" s="32" t="s">
        <v>174</v>
      </c>
      <c r="J73" s="32">
        <v>6</v>
      </c>
      <c r="K73" s="32" t="s">
        <v>175</v>
      </c>
      <c r="L73" s="18">
        <f t="shared" si="1"/>
        <v>999999999</v>
      </c>
    </row>
    <row r="74" spans="1:12" ht="15" customHeight="1" x14ac:dyDescent="0.25">
      <c r="A74" s="32" t="s">
        <v>180</v>
      </c>
      <c r="B74" s="32" t="s">
        <v>178</v>
      </c>
      <c r="C74" s="32" t="s">
        <v>154</v>
      </c>
      <c r="D74" s="32">
        <v>100</v>
      </c>
      <c r="E74" s="32">
        <v>249.99</v>
      </c>
      <c r="F74" s="32" t="s">
        <v>173</v>
      </c>
      <c r="G74" s="32">
        <v>15.2272</v>
      </c>
      <c r="H74" s="32">
        <v>8.2799999999999999E-2</v>
      </c>
      <c r="I74" s="32" t="s">
        <v>174</v>
      </c>
      <c r="J74" s="32">
        <v>6</v>
      </c>
      <c r="K74" s="32" t="s">
        <v>175</v>
      </c>
      <c r="L74" s="18">
        <f t="shared" si="1"/>
        <v>999999999</v>
      </c>
    </row>
    <row r="75" spans="1:12" ht="15" customHeight="1" x14ac:dyDescent="0.25">
      <c r="A75" s="32" t="s">
        <v>180</v>
      </c>
      <c r="B75" s="32" t="s">
        <v>151</v>
      </c>
      <c r="C75" s="32" t="s">
        <v>154</v>
      </c>
      <c r="D75" s="32">
        <v>0</v>
      </c>
      <c r="E75" s="32">
        <v>99.99</v>
      </c>
      <c r="F75" s="32" t="s">
        <v>173</v>
      </c>
      <c r="G75" s="32">
        <v>21.2272</v>
      </c>
      <c r="H75" s="32">
        <v>0.22520000000000001</v>
      </c>
      <c r="I75" s="32" t="s">
        <v>174</v>
      </c>
      <c r="J75" s="32">
        <v>6</v>
      </c>
      <c r="K75" s="32" t="s">
        <v>175</v>
      </c>
      <c r="L75" s="18">
        <f t="shared" si="1"/>
        <v>999999999</v>
      </c>
    </row>
    <row r="76" spans="1:12" ht="15" customHeight="1" x14ac:dyDescent="0.25">
      <c r="A76" s="32" t="s">
        <v>180</v>
      </c>
      <c r="B76" s="32" t="s">
        <v>151</v>
      </c>
      <c r="C76" s="32" t="s">
        <v>154</v>
      </c>
      <c r="D76" s="32">
        <v>100</v>
      </c>
      <c r="E76" s="32">
        <v>249.99</v>
      </c>
      <c r="F76" s="32" t="s">
        <v>173</v>
      </c>
      <c r="G76" s="32">
        <v>21.2272</v>
      </c>
      <c r="H76" s="32">
        <v>0.22120000000000001</v>
      </c>
      <c r="I76" s="32" t="s">
        <v>174</v>
      </c>
      <c r="J76" s="32">
        <v>6</v>
      </c>
      <c r="K76" s="32" t="s">
        <v>175</v>
      </c>
      <c r="L76" s="18">
        <f t="shared" si="1"/>
        <v>999999999</v>
      </c>
    </row>
    <row r="77" spans="1:12" ht="15" customHeight="1" x14ac:dyDescent="0.25">
      <c r="A77" s="32" t="s">
        <v>180</v>
      </c>
      <c r="B77" s="32" t="s">
        <v>151</v>
      </c>
      <c r="C77" s="32" t="s">
        <v>154</v>
      </c>
      <c r="D77" s="32">
        <v>250</v>
      </c>
      <c r="E77" s="32">
        <v>499.99</v>
      </c>
      <c r="F77" s="32" t="s">
        <v>173</v>
      </c>
      <c r="G77" s="32">
        <v>21.2272</v>
      </c>
      <c r="H77" s="32">
        <v>0.19320000000000001</v>
      </c>
      <c r="I77" s="32" t="s">
        <v>174</v>
      </c>
      <c r="J77" s="32">
        <v>6</v>
      </c>
      <c r="K77" s="32" t="s">
        <v>175</v>
      </c>
      <c r="L77" s="18">
        <f t="shared" si="1"/>
        <v>999999999</v>
      </c>
    </row>
    <row r="78" spans="1:12" ht="15" customHeight="1" x14ac:dyDescent="0.25">
      <c r="A78" s="32" t="s">
        <v>180</v>
      </c>
      <c r="B78" s="32" t="s">
        <v>151</v>
      </c>
      <c r="C78" s="32" t="s">
        <v>154</v>
      </c>
      <c r="D78" s="32">
        <v>500</v>
      </c>
      <c r="E78" s="32">
        <v>1999.99</v>
      </c>
      <c r="F78" s="32" t="s">
        <v>173</v>
      </c>
      <c r="G78" s="32">
        <v>21.2272</v>
      </c>
      <c r="H78" s="32">
        <v>0.19239999999999999</v>
      </c>
      <c r="I78" s="32" t="s">
        <v>174</v>
      </c>
      <c r="J78" s="32">
        <v>6</v>
      </c>
      <c r="K78" s="32" t="s">
        <v>175</v>
      </c>
      <c r="L78" s="18">
        <f t="shared" si="1"/>
        <v>999999999</v>
      </c>
    </row>
    <row r="79" spans="1:12" ht="15" customHeight="1" x14ac:dyDescent="0.25">
      <c r="A79" s="32" t="s">
        <v>180</v>
      </c>
      <c r="B79" s="32" t="s">
        <v>151</v>
      </c>
      <c r="C79" s="32" t="s">
        <v>154</v>
      </c>
      <c r="D79" s="32">
        <v>2000</v>
      </c>
      <c r="E79" s="32">
        <v>99999.99</v>
      </c>
      <c r="F79" s="32" t="s">
        <v>173</v>
      </c>
      <c r="G79" s="32">
        <v>21.2272</v>
      </c>
      <c r="H79" s="32">
        <v>0.1804</v>
      </c>
      <c r="I79" s="32" t="s">
        <v>174</v>
      </c>
      <c r="J79" s="32">
        <v>6</v>
      </c>
      <c r="K79" s="32" t="s">
        <v>175</v>
      </c>
      <c r="L79" s="18">
        <f t="shared" si="1"/>
        <v>999999999</v>
      </c>
    </row>
    <row r="80" spans="1:12" ht="15" customHeight="1" x14ac:dyDescent="0.25">
      <c r="A80" s="32" t="s">
        <v>180</v>
      </c>
      <c r="B80" s="32" t="s">
        <v>153</v>
      </c>
      <c r="C80" s="32" t="s">
        <v>154</v>
      </c>
      <c r="D80" s="32">
        <v>100</v>
      </c>
      <c r="E80" s="32">
        <v>249.99</v>
      </c>
      <c r="F80" s="32" t="s">
        <v>173</v>
      </c>
      <c r="G80" s="32">
        <v>21.027200000000001</v>
      </c>
      <c r="H80" s="32">
        <v>0.1028</v>
      </c>
      <c r="I80" s="32" t="s">
        <v>174</v>
      </c>
      <c r="J80" s="32">
        <v>6</v>
      </c>
      <c r="K80" s="32" t="s">
        <v>175</v>
      </c>
      <c r="L80" s="18">
        <f t="shared" si="1"/>
        <v>999999999</v>
      </c>
    </row>
    <row r="81" spans="1:12" ht="15" customHeight="1" x14ac:dyDescent="0.25">
      <c r="A81" s="32" t="s">
        <v>180</v>
      </c>
      <c r="B81" s="32" t="s">
        <v>153</v>
      </c>
      <c r="C81" s="32" t="s">
        <v>154</v>
      </c>
      <c r="D81" s="32">
        <v>2000</v>
      </c>
      <c r="E81" s="32">
        <v>99999.99</v>
      </c>
      <c r="F81" s="32" t="s">
        <v>173</v>
      </c>
      <c r="G81" s="32">
        <v>21.027200000000001</v>
      </c>
      <c r="H81" s="32">
        <v>0.1016</v>
      </c>
      <c r="I81" s="32" t="s">
        <v>174</v>
      </c>
      <c r="J81" s="32">
        <v>6</v>
      </c>
      <c r="K81" s="32" t="s">
        <v>175</v>
      </c>
      <c r="L81" s="18">
        <f t="shared" si="1"/>
        <v>999999999</v>
      </c>
    </row>
    <row r="82" spans="1:12" ht="15" customHeight="1" x14ac:dyDescent="0.25">
      <c r="A82" s="32" t="s">
        <v>180</v>
      </c>
      <c r="B82" s="32" t="s">
        <v>153</v>
      </c>
      <c r="C82" s="32" t="s">
        <v>154</v>
      </c>
      <c r="D82" s="32">
        <v>500</v>
      </c>
      <c r="E82" s="32">
        <v>1999.99</v>
      </c>
      <c r="F82" s="32" t="s">
        <v>173</v>
      </c>
      <c r="G82" s="32">
        <v>21.027200000000001</v>
      </c>
      <c r="H82" s="32">
        <v>0.10199999999999999</v>
      </c>
      <c r="I82" s="32" t="s">
        <v>174</v>
      </c>
      <c r="J82" s="32">
        <v>6</v>
      </c>
      <c r="K82" s="32" t="s">
        <v>175</v>
      </c>
      <c r="L82" s="18">
        <f t="shared" si="1"/>
        <v>999999999</v>
      </c>
    </row>
    <row r="83" spans="1:12" ht="15" customHeight="1" x14ac:dyDescent="0.25">
      <c r="A83" s="32" t="s">
        <v>180</v>
      </c>
      <c r="B83" s="32" t="s">
        <v>153</v>
      </c>
      <c r="C83" s="32" t="s">
        <v>154</v>
      </c>
      <c r="D83" s="32">
        <v>0</v>
      </c>
      <c r="E83" s="32">
        <v>99.99</v>
      </c>
      <c r="F83" s="32" t="s">
        <v>173</v>
      </c>
      <c r="G83" s="32">
        <v>21.027200000000001</v>
      </c>
      <c r="H83" s="32">
        <v>0.2172</v>
      </c>
      <c r="I83" s="32" t="s">
        <v>174</v>
      </c>
      <c r="J83" s="32">
        <v>6</v>
      </c>
      <c r="K83" s="32" t="s">
        <v>175</v>
      </c>
      <c r="L83" s="18">
        <f t="shared" si="1"/>
        <v>999999999</v>
      </c>
    </row>
    <row r="84" spans="1:12" ht="15" customHeight="1" x14ac:dyDescent="0.25">
      <c r="A84" s="32" t="s">
        <v>180</v>
      </c>
      <c r="B84" s="32" t="s">
        <v>153</v>
      </c>
      <c r="C84" s="32" t="s">
        <v>154</v>
      </c>
      <c r="D84" s="32">
        <v>250</v>
      </c>
      <c r="E84" s="32">
        <v>499.99</v>
      </c>
      <c r="F84" s="32" t="s">
        <v>173</v>
      </c>
      <c r="G84" s="32">
        <v>21.027200000000001</v>
      </c>
      <c r="H84" s="32">
        <v>0.1024</v>
      </c>
      <c r="I84" s="32" t="s">
        <v>174</v>
      </c>
      <c r="J84" s="32">
        <v>6</v>
      </c>
      <c r="K84" s="32" t="s">
        <v>175</v>
      </c>
      <c r="L84" s="18">
        <f t="shared" si="1"/>
        <v>999999999</v>
      </c>
    </row>
    <row r="85" spans="1:12" ht="15" customHeight="1" x14ac:dyDescent="0.25">
      <c r="A85" s="32" t="s">
        <v>180</v>
      </c>
      <c r="B85" s="32" t="s">
        <v>176</v>
      </c>
      <c r="C85" s="32" t="s">
        <v>154</v>
      </c>
      <c r="D85" s="32">
        <v>100</v>
      </c>
      <c r="E85" s="32">
        <v>249.99</v>
      </c>
      <c r="F85" s="32" t="s">
        <v>173</v>
      </c>
      <c r="G85" s="32">
        <v>15.427199999999999</v>
      </c>
      <c r="H85" s="32">
        <v>0.20119999999999999</v>
      </c>
      <c r="I85" s="32" t="s">
        <v>174</v>
      </c>
      <c r="J85" s="32">
        <v>6</v>
      </c>
      <c r="K85" s="32" t="s">
        <v>175</v>
      </c>
      <c r="L85" s="18">
        <f t="shared" si="1"/>
        <v>999999999</v>
      </c>
    </row>
    <row r="86" spans="1:12" ht="15" customHeight="1" x14ac:dyDescent="0.25">
      <c r="A86" s="32" t="s">
        <v>180</v>
      </c>
      <c r="B86" s="32" t="s">
        <v>176</v>
      </c>
      <c r="C86" s="32" t="s">
        <v>154</v>
      </c>
      <c r="D86" s="32">
        <v>2000</v>
      </c>
      <c r="E86" s="32">
        <v>99999.99</v>
      </c>
      <c r="F86" s="32" t="s">
        <v>173</v>
      </c>
      <c r="G86" s="32">
        <v>15.427199999999999</v>
      </c>
      <c r="H86" s="32">
        <v>0.1004</v>
      </c>
      <c r="I86" s="32" t="s">
        <v>174</v>
      </c>
      <c r="J86" s="32">
        <v>6</v>
      </c>
      <c r="K86" s="32" t="s">
        <v>175</v>
      </c>
      <c r="L86" s="18">
        <f t="shared" si="1"/>
        <v>999999999</v>
      </c>
    </row>
    <row r="87" spans="1:12" ht="15" customHeight="1" x14ac:dyDescent="0.25">
      <c r="A87" s="32" t="s">
        <v>180</v>
      </c>
      <c r="B87" s="32" t="s">
        <v>176</v>
      </c>
      <c r="C87" s="32" t="s">
        <v>154</v>
      </c>
      <c r="D87" s="32">
        <v>500</v>
      </c>
      <c r="E87" s="32">
        <v>1999.99</v>
      </c>
      <c r="F87" s="32" t="s">
        <v>173</v>
      </c>
      <c r="G87" s="32">
        <v>15.427199999999999</v>
      </c>
      <c r="H87" s="32">
        <v>0.1008</v>
      </c>
      <c r="I87" s="32" t="s">
        <v>174</v>
      </c>
      <c r="J87" s="32">
        <v>6</v>
      </c>
      <c r="K87" s="32" t="s">
        <v>175</v>
      </c>
      <c r="L87" s="18">
        <f t="shared" si="1"/>
        <v>999999999</v>
      </c>
    </row>
    <row r="88" spans="1:12" ht="15" customHeight="1" x14ac:dyDescent="0.25">
      <c r="A88" s="32" t="s">
        <v>180</v>
      </c>
      <c r="B88" s="32" t="s">
        <v>176</v>
      </c>
      <c r="C88" s="32" t="s">
        <v>154</v>
      </c>
      <c r="D88" s="32">
        <v>250</v>
      </c>
      <c r="E88" s="32">
        <v>499.99</v>
      </c>
      <c r="F88" s="32" t="s">
        <v>173</v>
      </c>
      <c r="G88" s="32">
        <v>15.427199999999999</v>
      </c>
      <c r="H88" s="32">
        <v>0.19719999999999999</v>
      </c>
      <c r="I88" s="32" t="s">
        <v>174</v>
      </c>
      <c r="J88" s="32">
        <v>6</v>
      </c>
      <c r="K88" s="32" t="s">
        <v>175</v>
      </c>
      <c r="L88" s="18">
        <f t="shared" si="1"/>
        <v>999999999</v>
      </c>
    </row>
    <row r="89" spans="1:12" ht="15" customHeight="1" x14ac:dyDescent="0.25">
      <c r="A89" s="32" t="s">
        <v>180</v>
      </c>
      <c r="B89" s="32" t="s">
        <v>176</v>
      </c>
      <c r="C89" s="32" t="s">
        <v>154</v>
      </c>
      <c r="D89" s="32">
        <v>0</v>
      </c>
      <c r="E89" s="32">
        <v>99.99</v>
      </c>
      <c r="F89" s="32" t="s">
        <v>173</v>
      </c>
      <c r="G89" s="32">
        <v>15.427199999999999</v>
      </c>
      <c r="H89" s="32">
        <v>0.2132</v>
      </c>
      <c r="I89" s="32" t="s">
        <v>174</v>
      </c>
      <c r="J89" s="32">
        <v>6</v>
      </c>
      <c r="K89" s="32" t="s">
        <v>175</v>
      </c>
      <c r="L89" s="18">
        <f t="shared" si="1"/>
        <v>999999999</v>
      </c>
    </row>
    <row r="90" spans="1:12" ht="15" customHeight="1" x14ac:dyDescent="0.25">
      <c r="A90" s="32" t="s">
        <v>177</v>
      </c>
      <c r="B90" s="32" t="s">
        <v>154</v>
      </c>
      <c r="C90" s="32" t="s">
        <v>154</v>
      </c>
      <c r="D90" s="32">
        <v>2000</v>
      </c>
      <c r="E90" s="32">
        <v>99999.99</v>
      </c>
      <c r="F90" s="32" t="s">
        <v>173</v>
      </c>
      <c r="G90" s="32">
        <v>23.54</v>
      </c>
      <c r="H90" s="32">
        <v>4.7600000000000003E-2</v>
      </c>
      <c r="I90" s="32" t="s">
        <v>174</v>
      </c>
      <c r="J90" s="32">
        <v>5</v>
      </c>
      <c r="K90" s="32" t="s">
        <v>175</v>
      </c>
      <c r="L90" s="18">
        <f t="shared" si="1"/>
        <v>999999999</v>
      </c>
    </row>
    <row r="91" spans="1:12" ht="15" customHeight="1" x14ac:dyDescent="0.25">
      <c r="A91" s="32" t="s">
        <v>177</v>
      </c>
      <c r="B91" s="32" t="s">
        <v>154</v>
      </c>
      <c r="C91" s="32" t="s">
        <v>154</v>
      </c>
      <c r="D91" s="32">
        <v>500</v>
      </c>
      <c r="E91" s="32">
        <v>1999.99</v>
      </c>
      <c r="F91" s="32" t="s">
        <v>173</v>
      </c>
      <c r="G91" s="32">
        <v>23.54</v>
      </c>
      <c r="H91" s="32">
        <v>4.7600000000000003E-2</v>
      </c>
      <c r="I91" s="32" t="s">
        <v>174</v>
      </c>
      <c r="J91" s="32">
        <v>5</v>
      </c>
      <c r="K91" s="32" t="s">
        <v>175</v>
      </c>
      <c r="L91" s="18">
        <f t="shared" si="1"/>
        <v>999999999</v>
      </c>
    </row>
    <row r="92" spans="1:12" ht="15" customHeight="1" x14ac:dyDescent="0.25">
      <c r="A92" s="32" t="s">
        <v>177</v>
      </c>
      <c r="B92" s="32" t="s">
        <v>154</v>
      </c>
      <c r="C92" s="32" t="s">
        <v>154</v>
      </c>
      <c r="D92" s="32">
        <v>100</v>
      </c>
      <c r="E92" s="32">
        <v>249.99</v>
      </c>
      <c r="F92" s="32" t="s">
        <v>173</v>
      </c>
      <c r="G92" s="32">
        <v>23.54</v>
      </c>
      <c r="H92" s="32">
        <v>4.7600000000000003E-2</v>
      </c>
      <c r="I92" s="32" t="s">
        <v>174</v>
      </c>
      <c r="J92" s="32">
        <v>5</v>
      </c>
      <c r="K92" s="32" t="s">
        <v>175</v>
      </c>
      <c r="L92" s="18">
        <f t="shared" si="1"/>
        <v>999999999</v>
      </c>
    </row>
    <row r="93" spans="1:12" ht="15" customHeight="1" x14ac:dyDescent="0.25">
      <c r="A93" s="32" t="s">
        <v>177</v>
      </c>
      <c r="B93" s="32" t="s">
        <v>154</v>
      </c>
      <c r="C93" s="32" t="s">
        <v>154</v>
      </c>
      <c r="D93" s="32">
        <v>0</v>
      </c>
      <c r="E93" s="32">
        <v>99.99</v>
      </c>
      <c r="F93" s="32" t="s">
        <v>173</v>
      </c>
      <c r="G93" s="32">
        <v>23.54</v>
      </c>
      <c r="H93" s="32">
        <v>4.7600000000000003E-2</v>
      </c>
      <c r="I93" s="32" t="s">
        <v>174</v>
      </c>
      <c r="J93" s="32">
        <v>5</v>
      </c>
      <c r="K93" s="32" t="s">
        <v>175</v>
      </c>
      <c r="L93" s="18">
        <f t="shared" si="1"/>
        <v>999999999</v>
      </c>
    </row>
    <row r="94" spans="1:12" ht="15" customHeight="1" x14ac:dyDescent="0.25">
      <c r="A94" s="32" t="s">
        <v>177</v>
      </c>
      <c r="B94" s="32" t="s">
        <v>154</v>
      </c>
      <c r="C94" s="32" t="s">
        <v>154</v>
      </c>
      <c r="D94" s="32">
        <v>250</v>
      </c>
      <c r="E94" s="32">
        <v>499.99</v>
      </c>
      <c r="F94" s="32" t="s">
        <v>173</v>
      </c>
      <c r="G94" s="32">
        <v>23.54</v>
      </c>
      <c r="H94" s="32">
        <v>4.7600000000000003E-2</v>
      </c>
      <c r="I94" s="32" t="s">
        <v>174</v>
      </c>
      <c r="J94" s="32">
        <v>5</v>
      </c>
      <c r="K94" s="32" t="s">
        <v>175</v>
      </c>
      <c r="L94" s="18">
        <f t="shared" si="1"/>
        <v>999999999</v>
      </c>
    </row>
    <row r="95" spans="1:12" ht="15" customHeight="1" x14ac:dyDescent="0.25">
      <c r="A95" s="32" t="s">
        <v>180</v>
      </c>
      <c r="B95" s="32" t="s">
        <v>178</v>
      </c>
      <c r="C95" s="32" t="s">
        <v>154</v>
      </c>
      <c r="D95" s="32">
        <v>500</v>
      </c>
      <c r="E95" s="32">
        <v>1999.99</v>
      </c>
      <c r="F95" s="32" t="s">
        <v>173</v>
      </c>
      <c r="G95" s="32">
        <v>15.427199999999999</v>
      </c>
      <c r="H95" s="32">
        <v>7.7200000000000005E-2</v>
      </c>
      <c r="I95" s="32" t="s">
        <v>174</v>
      </c>
      <c r="J95" s="32">
        <v>5</v>
      </c>
      <c r="K95" s="32" t="s">
        <v>175</v>
      </c>
      <c r="L95" s="18">
        <f t="shared" si="1"/>
        <v>999999999</v>
      </c>
    </row>
    <row r="96" spans="1:12" ht="15" customHeight="1" x14ac:dyDescent="0.25">
      <c r="A96" s="32" t="s">
        <v>180</v>
      </c>
      <c r="B96" s="32" t="s">
        <v>178</v>
      </c>
      <c r="C96" s="32" t="s">
        <v>154</v>
      </c>
      <c r="D96" s="32">
        <v>250</v>
      </c>
      <c r="E96" s="32">
        <v>499.99</v>
      </c>
      <c r="F96" s="32" t="s">
        <v>173</v>
      </c>
      <c r="G96" s="32">
        <v>15.427199999999999</v>
      </c>
      <c r="H96" s="32">
        <v>8.2799999999999999E-2</v>
      </c>
      <c r="I96" s="32" t="s">
        <v>174</v>
      </c>
      <c r="J96" s="32">
        <v>5</v>
      </c>
      <c r="K96" s="32" t="s">
        <v>175</v>
      </c>
      <c r="L96" s="18">
        <f t="shared" si="1"/>
        <v>999999999</v>
      </c>
    </row>
    <row r="97" spans="1:12" ht="15" customHeight="1" x14ac:dyDescent="0.25">
      <c r="A97" s="32" t="s">
        <v>180</v>
      </c>
      <c r="B97" s="32" t="s">
        <v>178</v>
      </c>
      <c r="C97" s="32" t="s">
        <v>154</v>
      </c>
      <c r="D97" s="32">
        <v>2000</v>
      </c>
      <c r="E97" s="32">
        <v>99999.99</v>
      </c>
      <c r="F97" s="32" t="s">
        <v>173</v>
      </c>
      <c r="G97" s="32">
        <v>15.427199999999999</v>
      </c>
      <c r="H97" s="32">
        <v>7.6799999999999993E-2</v>
      </c>
      <c r="I97" s="32" t="s">
        <v>174</v>
      </c>
      <c r="J97" s="32">
        <v>5</v>
      </c>
      <c r="K97" s="32" t="s">
        <v>175</v>
      </c>
      <c r="L97" s="18">
        <f t="shared" si="1"/>
        <v>999999999</v>
      </c>
    </row>
    <row r="98" spans="1:12" ht="15" customHeight="1" x14ac:dyDescent="0.25">
      <c r="A98" s="32" t="s">
        <v>180</v>
      </c>
      <c r="B98" s="32" t="s">
        <v>178</v>
      </c>
      <c r="C98" s="32" t="s">
        <v>154</v>
      </c>
      <c r="D98" s="32">
        <v>100</v>
      </c>
      <c r="E98" s="32">
        <v>249.99</v>
      </c>
      <c r="F98" s="32" t="s">
        <v>173</v>
      </c>
      <c r="G98" s="32">
        <v>15.427199999999999</v>
      </c>
      <c r="H98" s="32">
        <v>8.3199999999999996E-2</v>
      </c>
      <c r="I98" s="32" t="s">
        <v>174</v>
      </c>
      <c r="J98" s="32">
        <v>5</v>
      </c>
      <c r="K98" s="32" t="s">
        <v>175</v>
      </c>
      <c r="L98" s="18">
        <f t="shared" si="1"/>
        <v>999999999</v>
      </c>
    </row>
    <row r="99" spans="1:12" ht="15" customHeight="1" x14ac:dyDescent="0.25">
      <c r="A99" s="32" t="s">
        <v>180</v>
      </c>
      <c r="B99" s="32" t="s">
        <v>178</v>
      </c>
      <c r="C99" s="32" t="s">
        <v>154</v>
      </c>
      <c r="D99" s="32">
        <v>0</v>
      </c>
      <c r="E99" s="32">
        <v>99.99</v>
      </c>
      <c r="F99" s="32" t="s">
        <v>173</v>
      </c>
      <c r="G99" s="32">
        <v>15.427199999999999</v>
      </c>
      <c r="H99" s="32">
        <v>0.19719999999999999</v>
      </c>
      <c r="I99" s="32" t="s">
        <v>174</v>
      </c>
      <c r="J99" s="32">
        <v>5</v>
      </c>
      <c r="K99" s="32" t="s">
        <v>175</v>
      </c>
      <c r="L99" s="18">
        <f t="shared" si="1"/>
        <v>999999999</v>
      </c>
    </row>
    <row r="100" spans="1:12" ht="15" customHeight="1" x14ac:dyDescent="0.25">
      <c r="A100" s="32" t="s">
        <v>180</v>
      </c>
      <c r="B100" s="32" t="s">
        <v>178</v>
      </c>
      <c r="C100" s="32" t="s">
        <v>154</v>
      </c>
      <c r="D100" s="32">
        <v>2000</v>
      </c>
      <c r="E100" s="32">
        <v>99999.99</v>
      </c>
      <c r="F100" s="32" t="s">
        <v>181</v>
      </c>
      <c r="G100" s="32">
        <v>7.8272000000000004</v>
      </c>
      <c r="H100" s="32">
        <v>6.8400000000000002E-2</v>
      </c>
      <c r="I100" s="32" t="s">
        <v>174</v>
      </c>
      <c r="J100" s="32">
        <v>5</v>
      </c>
      <c r="K100" s="32" t="s">
        <v>175</v>
      </c>
      <c r="L100" s="18">
        <f t="shared" si="1"/>
        <v>999999999</v>
      </c>
    </row>
    <row r="101" spans="1:12" ht="15" customHeight="1" x14ac:dyDescent="0.25">
      <c r="A101" s="32" t="s">
        <v>180</v>
      </c>
      <c r="B101" s="32" t="s">
        <v>178</v>
      </c>
      <c r="C101" s="32" t="s">
        <v>154</v>
      </c>
      <c r="D101" s="32">
        <v>500</v>
      </c>
      <c r="E101" s="32">
        <v>1999.99</v>
      </c>
      <c r="F101" s="32" t="s">
        <v>181</v>
      </c>
      <c r="G101" s="32">
        <v>7.8272000000000004</v>
      </c>
      <c r="H101" s="32">
        <v>6.9199999999999998E-2</v>
      </c>
      <c r="I101" s="32" t="s">
        <v>174</v>
      </c>
      <c r="J101" s="32">
        <v>5</v>
      </c>
      <c r="K101" s="32" t="s">
        <v>175</v>
      </c>
      <c r="L101" s="18">
        <f t="shared" si="1"/>
        <v>999999999</v>
      </c>
    </row>
    <row r="102" spans="1:12" ht="15" customHeight="1" x14ac:dyDescent="0.25">
      <c r="A102" s="32" t="s">
        <v>180</v>
      </c>
      <c r="B102" s="32" t="s">
        <v>178</v>
      </c>
      <c r="C102" s="32" t="s">
        <v>154</v>
      </c>
      <c r="D102" s="32">
        <v>250</v>
      </c>
      <c r="E102" s="32">
        <v>499.99</v>
      </c>
      <c r="F102" s="32" t="s">
        <v>181</v>
      </c>
      <c r="G102" s="32">
        <v>7.8272000000000004</v>
      </c>
      <c r="H102" s="32">
        <v>7.2800000000000004E-2</v>
      </c>
      <c r="I102" s="32" t="s">
        <v>174</v>
      </c>
      <c r="J102" s="32">
        <v>5</v>
      </c>
      <c r="K102" s="32" t="s">
        <v>175</v>
      </c>
      <c r="L102" s="18">
        <f t="shared" si="1"/>
        <v>999999999</v>
      </c>
    </row>
    <row r="103" spans="1:12" ht="15" customHeight="1" x14ac:dyDescent="0.25">
      <c r="A103" s="32" t="s">
        <v>180</v>
      </c>
      <c r="B103" s="32" t="s">
        <v>178</v>
      </c>
      <c r="C103" s="32" t="s">
        <v>154</v>
      </c>
      <c r="D103" s="32">
        <v>100</v>
      </c>
      <c r="E103" s="32">
        <v>249.99</v>
      </c>
      <c r="F103" s="32" t="s">
        <v>181</v>
      </c>
      <c r="G103" s="32">
        <v>7.8272000000000004</v>
      </c>
      <c r="H103" s="32">
        <v>7.3200000000000001E-2</v>
      </c>
      <c r="I103" s="32" t="s">
        <v>174</v>
      </c>
      <c r="J103" s="32">
        <v>5</v>
      </c>
      <c r="K103" s="32" t="s">
        <v>175</v>
      </c>
      <c r="L103" s="18">
        <f t="shared" si="1"/>
        <v>999999999</v>
      </c>
    </row>
    <row r="104" spans="1:12" ht="15" customHeight="1" x14ac:dyDescent="0.25">
      <c r="A104" s="32" t="s">
        <v>180</v>
      </c>
      <c r="B104" s="32" t="s">
        <v>178</v>
      </c>
      <c r="C104" s="32" t="s">
        <v>154</v>
      </c>
      <c r="D104" s="32">
        <v>0</v>
      </c>
      <c r="E104" s="32">
        <v>99.99</v>
      </c>
      <c r="F104" s="32" t="s">
        <v>181</v>
      </c>
      <c r="G104" s="32">
        <v>7.8272000000000004</v>
      </c>
      <c r="H104" s="32">
        <v>9.8400000000000001E-2</v>
      </c>
      <c r="I104" s="32" t="s">
        <v>174</v>
      </c>
      <c r="J104" s="32">
        <v>5</v>
      </c>
      <c r="K104" s="32" t="s">
        <v>175</v>
      </c>
      <c r="L104" s="18">
        <f t="shared" si="1"/>
        <v>999999999</v>
      </c>
    </row>
    <row r="105" spans="1:12" ht="15" customHeight="1" x14ac:dyDescent="0.25">
      <c r="A105" s="32" t="s">
        <v>177</v>
      </c>
      <c r="B105" s="32" t="s">
        <v>178</v>
      </c>
      <c r="C105" s="32" t="s">
        <v>154</v>
      </c>
      <c r="D105" s="32">
        <v>0</v>
      </c>
      <c r="E105" s="32">
        <v>99.99</v>
      </c>
      <c r="F105" s="32" t="s">
        <v>173</v>
      </c>
      <c r="G105" s="32">
        <v>15.117599999999999</v>
      </c>
      <c r="H105" s="32">
        <v>0.15720000000000001</v>
      </c>
      <c r="I105" s="32" t="s">
        <v>174</v>
      </c>
      <c r="J105" s="32">
        <v>5</v>
      </c>
      <c r="K105" s="32" t="s">
        <v>175</v>
      </c>
      <c r="L105" s="18">
        <f t="shared" si="1"/>
        <v>999999999</v>
      </c>
    </row>
    <row r="106" spans="1:12" ht="15" customHeight="1" x14ac:dyDescent="0.25">
      <c r="A106" s="32" t="s">
        <v>177</v>
      </c>
      <c r="B106" s="32" t="s">
        <v>178</v>
      </c>
      <c r="C106" s="32" t="s">
        <v>154</v>
      </c>
      <c r="D106" s="32">
        <v>250</v>
      </c>
      <c r="E106" s="32">
        <v>499.99</v>
      </c>
      <c r="F106" s="32" t="s">
        <v>173</v>
      </c>
      <c r="G106" s="32">
        <v>15.117599999999999</v>
      </c>
      <c r="H106" s="32">
        <v>0.15720000000000001</v>
      </c>
      <c r="I106" s="32" t="s">
        <v>174</v>
      </c>
      <c r="J106" s="32">
        <v>5</v>
      </c>
      <c r="K106" s="32" t="s">
        <v>175</v>
      </c>
      <c r="L106" s="18">
        <f t="shared" si="1"/>
        <v>999999999</v>
      </c>
    </row>
    <row r="107" spans="1:12" ht="15" customHeight="1" x14ac:dyDescent="0.25">
      <c r="A107" s="32" t="s">
        <v>177</v>
      </c>
      <c r="B107" s="32" t="s">
        <v>178</v>
      </c>
      <c r="C107" s="32" t="s">
        <v>154</v>
      </c>
      <c r="D107" s="32">
        <v>100</v>
      </c>
      <c r="E107" s="32">
        <v>249.99</v>
      </c>
      <c r="F107" s="32" t="s">
        <v>173</v>
      </c>
      <c r="G107" s="32">
        <v>15.117599999999999</v>
      </c>
      <c r="H107" s="32">
        <v>0.15720000000000001</v>
      </c>
      <c r="I107" s="32" t="s">
        <v>174</v>
      </c>
      <c r="J107" s="32">
        <v>5</v>
      </c>
      <c r="K107" s="32" t="s">
        <v>175</v>
      </c>
      <c r="L107" s="18">
        <f t="shared" si="1"/>
        <v>999999999</v>
      </c>
    </row>
    <row r="108" spans="1:12" ht="15" customHeight="1" x14ac:dyDescent="0.25">
      <c r="A108" s="32" t="s">
        <v>177</v>
      </c>
      <c r="B108" s="32" t="s">
        <v>178</v>
      </c>
      <c r="C108" s="32" t="s">
        <v>154</v>
      </c>
      <c r="D108" s="32">
        <v>500</v>
      </c>
      <c r="E108" s="32">
        <v>1999.99</v>
      </c>
      <c r="F108" s="32" t="s">
        <v>173</v>
      </c>
      <c r="G108" s="32">
        <v>15.117599999999999</v>
      </c>
      <c r="H108" s="32">
        <v>0.15720000000000001</v>
      </c>
      <c r="I108" s="32" t="s">
        <v>174</v>
      </c>
      <c r="J108" s="32">
        <v>5</v>
      </c>
      <c r="K108" s="32" t="s">
        <v>175</v>
      </c>
      <c r="L108" s="18">
        <f t="shared" si="1"/>
        <v>999999999</v>
      </c>
    </row>
    <row r="109" spans="1:12" ht="15" customHeight="1" x14ac:dyDescent="0.25">
      <c r="A109" s="32" t="s">
        <v>177</v>
      </c>
      <c r="B109" s="32" t="s">
        <v>178</v>
      </c>
      <c r="C109" s="32" t="s">
        <v>154</v>
      </c>
      <c r="D109" s="32">
        <v>2000</v>
      </c>
      <c r="E109" s="32">
        <v>99999.99</v>
      </c>
      <c r="F109" s="32" t="s">
        <v>173</v>
      </c>
      <c r="G109" s="32">
        <v>15.117599999999999</v>
      </c>
      <c r="H109" s="32">
        <v>0.15720000000000001</v>
      </c>
      <c r="I109" s="32" t="s">
        <v>174</v>
      </c>
      <c r="J109" s="32">
        <v>5</v>
      </c>
      <c r="K109" s="32" t="s">
        <v>175</v>
      </c>
      <c r="L109" s="18">
        <f t="shared" si="1"/>
        <v>999999999</v>
      </c>
    </row>
    <row r="110" spans="1:12" ht="15" customHeight="1" x14ac:dyDescent="0.25">
      <c r="A110" s="32" t="s">
        <v>180</v>
      </c>
      <c r="B110" s="32" t="s">
        <v>151</v>
      </c>
      <c r="C110" s="32" t="s">
        <v>154</v>
      </c>
      <c r="D110" s="32">
        <v>2000</v>
      </c>
      <c r="E110" s="32">
        <v>99999.99</v>
      </c>
      <c r="F110" s="32" t="s">
        <v>181</v>
      </c>
      <c r="G110" s="32">
        <v>9.6272000000000002</v>
      </c>
      <c r="H110" s="32">
        <v>0.14480000000000001</v>
      </c>
      <c r="I110" s="32" t="s">
        <v>174</v>
      </c>
      <c r="J110" s="32">
        <v>5</v>
      </c>
      <c r="K110" s="32" t="s">
        <v>175</v>
      </c>
      <c r="L110" s="18">
        <f t="shared" si="1"/>
        <v>999999999</v>
      </c>
    </row>
    <row r="111" spans="1:12" ht="15" customHeight="1" x14ac:dyDescent="0.25">
      <c r="A111" s="32" t="s">
        <v>180</v>
      </c>
      <c r="B111" s="32" t="s">
        <v>151</v>
      </c>
      <c r="C111" s="32" t="s">
        <v>154</v>
      </c>
      <c r="D111" s="32">
        <v>500</v>
      </c>
      <c r="E111" s="32">
        <v>1999.99</v>
      </c>
      <c r="F111" s="32" t="s">
        <v>181</v>
      </c>
      <c r="G111" s="32">
        <v>9.6272000000000002</v>
      </c>
      <c r="H111" s="32">
        <v>0.1452</v>
      </c>
      <c r="I111" s="32" t="s">
        <v>174</v>
      </c>
      <c r="J111" s="32">
        <v>5</v>
      </c>
      <c r="K111" s="32" t="s">
        <v>175</v>
      </c>
      <c r="L111" s="18">
        <f t="shared" si="1"/>
        <v>999999999</v>
      </c>
    </row>
    <row r="112" spans="1:12" ht="15" customHeight="1" x14ac:dyDescent="0.25">
      <c r="A112" s="32" t="s">
        <v>180</v>
      </c>
      <c r="B112" s="32" t="s">
        <v>151</v>
      </c>
      <c r="C112" s="32" t="s">
        <v>154</v>
      </c>
      <c r="D112" s="32">
        <v>250</v>
      </c>
      <c r="E112" s="32">
        <v>499.99</v>
      </c>
      <c r="F112" s="32" t="s">
        <v>181</v>
      </c>
      <c r="G112" s="32">
        <v>9.6272000000000002</v>
      </c>
      <c r="H112" s="32">
        <v>0.14560000000000001</v>
      </c>
      <c r="I112" s="32" t="s">
        <v>174</v>
      </c>
      <c r="J112" s="32">
        <v>5</v>
      </c>
      <c r="K112" s="32" t="s">
        <v>175</v>
      </c>
      <c r="L112" s="18">
        <f t="shared" si="1"/>
        <v>999999999</v>
      </c>
    </row>
    <row r="113" spans="1:12" ht="15" customHeight="1" x14ac:dyDescent="0.25">
      <c r="A113" s="32" t="s">
        <v>180</v>
      </c>
      <c r="B113" s="32" t="s">
        <v>151</v>
      </c>
      <c r="C113" s="32" t="s">
        <v>154</v>
      </c>
      <c r="D113" s="32">
        <v>0</v>
      </c>
      <c r="E113" s="32">
        <v>99.99</v>
      </c>
      <c r="F113" s="32" t="s">
        <v>181</v>
      </c>
      <c r="G113" s="32">
        <v>9.6272000000000002</v>
      </c>
      <c r="H113" s="32">
        <v>0.17399999999999999</v>
      </c>
      <c r="I113" s="32" t="s">
        <v>174</v>
      </c>
      <c r="J113" s="32">
        <v>5</v>
      </c>
      <c r="K113" s="32" t="s">
        <v>175</v>
      </c>
      <c r="L113" s="18">
        <f t="shared" si="1"/>
        <v>999999999</v>
      </c>
    </row>
    <row r="114" spans="1:12" ht="15" customHeight="1" x14ac:dyDescent="0.25">
      <c r="A114" s="32" t="s">
        <v>180</v>
      </c>
      <c r="B114" s="32" t="s">
        <v>151</v>
      </c>
      <c r="C114" s="32" t="s">
        <v>154</v>
      </c>
      <c r="D114" s="32">
        <v>100</v>
      </c>
      <c r="E114" s="32">
        <v>249.99</v>
      </c>
      <c r="F114" s="32" t="s">
        <v>181</v>
      </c>
      <c r="G114" s="32">
        <v>9.6272000000000002</v>
      </c>
      <c r="H114" s="32">
        <v>0.14599999999999999</v>
      </c>
      <c r="I114" s="32" t="s">
        <v>174</v>
      </c>
      <c r="J114" s="32">
        <v>5</v>
      </c>
      <c r="K114" s="32" t="s">
        <v>175</v>
      </c>
      <c r="L114" s="18">
        <f t="shared" si="1"/>
        <v>999999999</v>
      </c>
    </row>
    <row r="115" spans="1:12" ht="15" customHeight="1" x14ac:dyDescent="0.25">
      <c r="A115" s="32" t="s">
        <v>177</v>
      </c>
      <c r="B115" s="32" t="s">
        <v>59</v>
      </c>
      <c r="C115" s="32" t="s">
        <v>154</v>
      </c>
      <c r="D115" s="32">
        <v>0</v>
      </c>
      <c r="E115" s="32">
        <v>99.99</v>
      </c>
      <c r="F115" s="32" t="s">
        <v>173</v>
      </c>
      <c r="G115" s="32">
        <v>27.801200000000001</v>
      </c>
      <c r="H115" s="32">
        <v>0.12959999999999999</v>
      </c>
      <c r="I115" s="32" t="s">
        <v>174</v>
      </c>
      <c r="J115" s="32">
        <v>5</v>
      </c>
      <c r="K115" s="32" t="s">
        <v>175</v>
      </c>
      <c r="L115" s="18">
        <f t="shared" si="1"/>
        <v>999999999</v>
      </c>
    </row>
    <row r="116" spans="1:12" ht="15" customHeight="1" x14ac:dyDescent="0.25">
      <c r="A116" s="32" t="s">
        <v>177</v>
      </c>
      <c r="B116" s="32" t="s">
        <v>59</v>
      </c>
      <c r="C116" s="32" t="s">
        <v>154</v>
      </c>
      <c r="D116" s="32">
        <v>250</v>
      </c>
      <c r="E116" s="32">
        <v>499.99</v>
      </c>
      <c r="F116" s="32" t="s">
        <v>173</v>
      </c>
      <c r="G116" s="32">
        <v>27.801200000000001</v>
      </c>
      <c r="H116" s="32">
        <v>0.12959999999999999</v>
      </c>
      <c r="I116" s="32" t="s">
        <v>174</v>
      </c>
      <c r="J116" s="32">
        <v>5</v>
      </c>
      <c r="K116" s="32" t="s">
        <v>175</v>
      </c>
      <c r="L116" s="18">
        <f t="shared" si="1"/>
        <v>999999999</v>
      </c>
    </row>
    <row r="117" spans="1:12" ht="15" customHeight="1" x14ac:dyDescent="0.25">
      <c r="A117" s="32" t="s">
        <v>177</v>
      </c>
      <c r="B117" s="32" t="s">
        <v>59</v>
      </c>
      <c r="C117" s="32" t="s">
        <v>154</v>
      </c>
      <c r="D117" s="32">
        <v>2000</v>
      </c>
      <c r="E117" s="32">
        <v>99999.99</v>
      </c>
      <c r="F117" s="32" t="s">
        <v>173</v>
      </c>
      <c r="G117" s="32">
        <v>27.801200000000001</v>
      </c>
      <c r="H117" s="32">
        <v>0.12959999999999999</v>
      </c>
      <c r="I117" s="32" t="s">
        <v>174</v>
      </c>
      <c r="J117" s="32">
        <v>5</v>
      </c>
      <c r="K117" s="32" t="s">
        <v>175</v>
      </c>
      <c r="L117" s="18">
        <f t="shared" si="1"/>
        <v>106159.60440000001</v>
      </c>
    </row>
    <row r="118" spans="1:12" ht="15" customHeight="1" x14ac:dyDescent="0.25">
      <c r="A118" s="32" t="s">
        <v>177</v>
      </c>
      <c r="B118" s="32" t="s">
        <v>59</v>
      </c>
      <c r="C118" s="32" t="s">
        <v>154</v>
      </c>
      <c r="D118" s="32">
        <v>500</v>
      </c>
      <c r="E118" s="32">
        <v>1999.99</v>
      </c>
      <c r="F118" s="32" t="s">
        <v>173</v>
      </c>
      <c r="G118" s="32">
        <v>27.801200000000001</v>
      </c>
      <c r="H118" s="32">
        <v>0.12959999999999999</v>
      </c>
      <c r="I118" s="32" t="s">
        <v>174</v>
      </c>
      <c r="J118" s="32">
        <v>5</v>
      </c>
      <c r="K118" s="32" t="s">
        <v>175</v>
      </c>
      <c r="L118" s="18">
        <f t="shared" si="1"/>
        <v>999999999</v>
      </c>
    </row>
    <row r="119" spans="1:12" ht="15" customHeight="1" x14ac:dyDescent="0.25">
      <c r="A119" s="32" t="s">
        <v>177</v>
      </c>
      <c r="B119" s="32" t="s">
        <v>59</v>
      </c>
      <c r="C119" s="32" t="s">
        <v>154</v>
      </c>
      <c r="D119" s="32">
        <v>100</v>
      </c>
      <c r="E119" s="32">
        <v>249.99</v>
      </c>
      <c r="F119" s="32" t="s">
        <v>173</v>
      </c>
      <c r="G119" s="32">
        <v>27.801200000000001</v>
      </c>
      <c r="H119" s="32">
        <v>0.12959999999999999</v>
      </c>
      <c r="I119" s="32" t="s">
        <v>174</v>
      </c>
      <c r="J119" s="32">
        <v>5</v>
      </c>
      <c r="K119" s="32" t="s">
        <v>175</v>
      </c>
      <c r="L119" s="18">
        <f t="shared" si="1"/>
        <v>999999999</v>
      </c>
    </row>
    <row r="120" spans="1:12" ht="15" customHeight="1" x14ac:dyDescent="0.25">
      <c r="A120" s="32" t="s">
        <v>180</v>
      </c>
      <c r="B120" s="32" t="s">
        <v>153</v>
      </c>
      <c r="C120" s="32" t="s">
        <v>154</v>
      </c>
      <c r="D120" s="32">
        <v>500</v>
      </c>
      <c r="E120" s="32">
        <v>1999.99</v>
      </c>
      <c r="F120" s="32" t="s">
        <v>173</v>
      </c>
      <c r="G120" s="32">
        <v>19.027200000000001</v>
      </c>
      <c r="H120" s="32">
        <v>0.1024</v>
      </c>
      <c r="I120" s="32" t="s">
        <v>174</v>
      </c>
      <c r="J120" s="32">
        <v>5</v>
      </c>
      <c r="K120" s="32" t="s">
        <v>175</v>
      </c>
      <c r="L120" s="18">
        <f t="shared" si="1"/>
        <v>999999999</v>
      </c>
    </row>
    <row r="121" spans="1:12" ht="15" customHeight="1" x14ac:dyDescent="0.25">
      <c r="A121" s="32" t="s">
        <v>180</v>
      </c>
      <c r="B121" s="32" t="s">
        <v>153</v>
      </c>
      <c r="C121" s="32" t="s">
        <v>154</v>
      </c>
      <c r="D121" s="32">
        <v>0</v>
      </c>
      <c r="E121" s="32">
        <v>99.99</v>
      </c>
      <c r="F121" s="32" t="s">
        <v>173</v>
      </c>
      <c r="G121" s="32">
        <v>19.027200000000001</v>
      </c>
      <c r="H121" s="32">
        <v>0.22520000000000001</v>
      </c>
      <c r="I121" s="32" t="s">
        <v>174</v>
      </c>
      <c r="J121" s="32">
        <v>5</v>
      </c>
      <c r="K121" s="32" t="s">
        <v>175</v>
      </c>
      <c r="L121" s="18">
        <f t="shared" si="1"/>
        <v>999999999</v>
      </c>
    </row>
    <row r="122" spans="1:12" ht="15" customHeight="1" x14ac:dyDescent="0.25">
      <c r="A122" s="32" t="s">
        <v>180</v>
      </c>
      <c r="B122" s="32" t="s">
        <v>153</v>
      </c>
      <c r="C122" s="32" t="s">
        <v>154</v>
      </c>
      <c r="D122" s="32">
        <v>2000</v>
      </c>
      <c r="E122" s="32">
        <v>99999.99</v>
      </c>
      <c r="F122" s="32" t="s">
        <v>173</v>
      </c>
      <c r="G122" s="32">
        <v>19.027200000000001</v>
      </c>
      <c r="H122" s="32">
        <v>0.10199999999999999</v>
      </c>
      <c r="I122" s="32" t="s">
        <v>174</v>
      </c>
      <c r="J122" s="32">
        <v>5</v>
      </c>
      <c r="K122" s="32" t="s">
        <v>175</v>
      </c>
      <c r="L122" s="18">
        <f t="shared" si="1"/>
        <v>999999999</v>
      </c>
    </row>
    <row r="123" spans="1:12" ht="15" customHeight="1" x14ac:dyDescent="0.25">
      <c r="A123" s="32" t="s">
        <v>180</v>
      </c>
      <c r="B123" s="32" t="s">
        <v>153</v>
      </c>
      <c r="C123" s="32" t="s">
        <v>154</v>
      </c>
      <c r="D123" s="32">
        <v>100</v>
      </c>
      <c r="E123" s="32">
        <v>249.99</v>
      </c>
      <c r="F123" s="32" t="s">
        <v>173</v>
      </c>
      <c r="G123" s="32">
        <v>19.027200000000001</v>
      </c>
      <c r="H123" s="32">
        <v>0.1032</v>
      </c>
      <c r="I123" s="32" t="s">
        <v>174</v>
      </c>
      <c r="J123" s="32">
        <v>5</v>
      </c>
      <c r="K123" s="32" t="s">
        <v>175</v>
      </c>
      <c r="L123" s="18">
        <f t="shared" si="1"/>
        <v>999999999</v>
      </c>
    </row>
    <row r="124" spans="1:12" ht="15" customHeight="1" x14ac:dyDescent="0.25">
      <c r="A124" s="32" t="s">
        <v>180</v>
      </c>
      <c r="B124" s="32" t="s">
        <v>153</v>
      </c>
      <c r="C124" s="32" t="s">
        <v>154</v>
      </c>
      <c r="D124" s="32">
        <v>250</v>
      </c>
      <c r="E124" s="32">
        <v>499.99</v>
      </c>
      <c r="F124" s="32" t="s">
        <v>173</v>
      </c>
      <c r="G124" s="32">
        <v>19.027200000000001</v>
      </c>
      <c r="H124" s="32">
        <v>0.1028</v>
      </c>
      <c r="I124" s="32" t="s">
        <v>174</v>
      </c>
      <c r="J124" s="32">
        <v>5</v>
      </c>
      <c r="K124" s="32" t="s">
        <v>175</v>
      </c>
      <c r="L124" s="18">
        <f t="shared" si="1"/>
        <v>999999999</v>
      </c>
    </row>
    <row r="125" spans="1:12" ht="15" customHeight="1" x14ac:dyDescent="0.25">
      <c r="A125" s="32" t="s">
        <v>180</v>
      </c>
      <c r="B125" s="32" t="s">
        <v>153</v>
      </c>
      <c r="C125" s="32" t="s">
        <v>154</v>
      </c>
      <c r="D125" s="32">
        <v>100</v>
      </c>
      <c r="E125" s="32">
        <v>249.99</v>
      </c>
      <c r="F125" s="32" t="s">
        <v>181</v>
      </c>
      <c r="G125" s="32">
        <v>21.027200000000001</v>
      </c>
      <c r="H125" s="32">
        <v>0.1532</v>
      </c>
      <c r="I125" s="32" t="s">
        <v>174</v>
      </c>
      <c r="J125" s="32">
        <v>5</v>
      </c>
      <c r="K125" s="32" t="s">
        <v>175</v>
      </c>
      <c r="L125" s="18">
        <f t="shared" si="1"/>
        <v>999999999</v>
      </c>
    </row>
    <row r="126" spans="1:12" ht="15" customHeight="1" x14ac:dyDescent="0.25">
      <c r="A126" s="32" t="s">
        <v>180</v>
      </c>
      <c r="B126" s="32" t="s">
        <v>153</v>
      </c>
      <c r="C126" s="32" t="s">
        <v>154</v>
      </c>
      <c r="D126" s="32">
        <v>250</v>
      </c>
      <c r="E126" s="32">
        <v>499.99</v>
      </c>
      <c r="F126" s="32" t="s">
        <v>181</v>
      </c>
      <c r="G126" s="32">
        <v>21.027200000000001</v>
      </c>
      <c r="H126" s="32">
        <v>0.1492</v>
      </c>
      <c r="I126" s="32" t="s">
        <v>174</v>
      </c>
      <c r="J126" s="32">
        <v>5</v>
      </c>
      <c r="K126" s="32" t="s">
        <v>175</v>
      </c>
      <c r="L126" s="18">
        <f t="shared" si="1"/>
        <v>999999999</v>
      </c>
    </row>
    <row r="127" spans="1:12" ht="15" customHeight="1" x14ac:dyDescent="0.25">
      <c r="A127" s="32" t="s">
        <v>180</v>
      </c>
      <c r="B127" s="32" t="s">
        <v>153</v>
      </c>
      <c r="C127" s="32" t="s">
        <v>154</v>
      </c>
      <c r="D127" s="32">
        <v>500</v>
      </c>
      <c r="E127" s="32">
        <v>1999.99</v>
      </c>
      <c r="F127" s="32" t="s">
        <v>181</v>
      </c>
      <c r="G127" s="32">
        <v>21.027200000000001</v>
      </c>
      <c r="H127" s="32">
        <v>0.1484</v>
      </c>
      <c r="I127" s="32" t="s">
        <v>174</v>
      </c>
      <c r="J127" s="32">
        <v>5</v>
      </c>
      <c r="K127" s="32" t="s">
        <v>175</v>
      </c>
      <c r="L127" s="18">
        <f t="shared" si="1"/>
        <v>999999999</v>
      </c>
    </row>
    <row r="128" spans="1:12" ht="15" customHeight="1" x14ac:dyDescent="0.25">
      <c r="A128" s="32" t="s">
        <v>180</v>
      </c>
      <c r="B128" s="32" t="s">
        <v>153</v>
      </c>
      <c r="C128" s="32" t="s">
        <v>154</v>
      </c>
      <c r="D128" s="32">
        <v>0</v>
      </c>
      <c r="E128" s="32">
        <v>99.99</v>
      </c>
      <c r="F128" s="32" t="s">
        <v>181</v>
      </c>
      <c r="G128" s="32">
        <v>21.027200000000001</v>
      </c>
      <c r="H128" s="32">
        <v>0.1852</v>
      </c>
      <c r="I128" s="32" t="s">
        <v>174</v>
      </c>
      <c r="J128" s="32">
        <v>5</v>
      </c>
      <c r="K128" s="32" t="s">
        <v>175</v>
      </c>
      <c r="L128" s="18">
        <f t="shared" si="1"/>
        <v>999999999</v>
      </c>
    </row>
    <row r="129" spans="1:12" ht="15" customHeight="1" x14ac:dyDescent="0.25">
      <c r="A129" s="32" t="s">
        <v>180</v>
      </c>
      <c r="B129" s="32" t="s">
        <v>153</v>
      </c>
      <c r="C129" s="32" t="s">
        <v>154</v>
      </c>
      <c r="D129" s="32">
        <v>2000</v>
      </c>
      <c r="E129" s="32">
        <v>99999.99</v>
      </c>
      <c r="F129" s="32" t="s">
        <v>181</v>
      </c>
      <c r="G129" s="32">
        <v>21.027200000000001</v>
      </c>
      <c r="H129" s="32">
        <v>0.14760000000000001</v>
      </c>
      <c r="I129" s="32" t="s">
        <v>174</v>
      </c>
      <c r="J129" s="32">
        <v>5</v>
      </c>
      <c r="K129" s="32" t="s">
        <v>175</v>
      </c>
      <c r="L129" s="18">
        <f t="shared" si="1"/>
        <v>999999999</v>
      </c>
    </row>
    <row r="130" spans="1:12" ht="15" customHeight="1" x14ac:dyDescent="0.25">
      <c r="A130" s="32" t="s">
        <v>177</v>
      </c>
      <c r="B130" s="32" t="s">
        <v>52</v>
      </c>
      <c r="C130" s="32" t="s">
        <v>154</v>
      </c>
      <c r="D130" s="32">
        <v>2000</v>
      </c>
      <c r="E130" s="32">
        <v>99999.99</v>
      </c>
      <c r="F130" s="32" t="s">
        <v>173</v>
      </c>
      <c r="G130" s="32">
        <v>23.3096</v>
      </c>
      <c r="H130" s="32">
        <v>9.1200000000000003E-2</v>
      </c>
      <c r="I130" s="32" t="s">
        <v>174</v>
      </c>
      <c r="J130" s="32">
        <v>5</v>
      </c>
      <c r="K130" s="32" t="s">
        <v>175</v>
      </c>
      <c r="L130" s="18">
        <f t="shared" ref="L130:L193" si="2">IF(AND(B130=Quote_Port,D130&lt;=Quote_Weight,Quote_Weight&lt;=E130,OR(Quote_2Day="No",J130&lt;=2)),MAX(G130,Quote_Weight*H130)*Quote_USDINR,999999999)</f>
        <v>999999999</v>
      </c>
    </row>
    <row r="131" spans="1:12" ht="15" customHeight="1" x14ac:dyDescent="0.25">
      <c r="A131" s="32" t="s">
        <v>177</v>
      </c>
      <c r="B131" s="32" t="s">
        <v>52</v>
      </c>
      <c r="C131" s="32" t="s">
        <v>154</v>
      </c>
      <c r="D131" s="32">
        <v>100</v>
      </c>
      <c r="E131" s="32">
        <v>249.99</v>
      </c>
      <c r="F131" s="32" t="s">
        <v>173</v>
      </c>
      <c r="G131" s="32">
        <v>23.3096</v>
      </c>
      <c r="H131" s="32">
        <v>9.1200000000000003E-2</v>
      </c>
      <c r="I131" s="32" t="s">
        <v>174</v>
      </c>
      <c r="J131" s="32">
        <v>5</v>
      </c>
      <c r="K131" s="32" t="s">
        <v>175</v>
      </c>
      <c r="L131" s="18">
        <f t="shared" si="2"/>
        <v>999999999</v>
      </c>
    </row>
    <row r="132" spans="1:12" ht="15" customHeight="1" x14ac:dyDescent="0.25">
      <c r="A132" s="32" t="s">
        <v>177</v>
      </c>
      <c r="B132" s="32" t="s">
        <v>52</v>
      </c>
      <c r="C132" s="32" t="s">
        <v>154</v>
      </c>
      <c r="D132" s="32">
        <v>250</v>
      </c>
      <c r="E132" s="32">
        <v>499.99</v>
      </c>
      <c r="F132" s="32" t="s">
        <v>173</v>
      </c>
      <c r="G132" s="32">
        <v>23.3096</v>
      </c>
      <c r="H132" s="32">
        <v>9.1200000000000003E-2</v>
      </c>
      <c r="I132" s="32" t="s">
        <v>174</v>
      </c>
      <c r="J132" s="32">
        <v>5</v>
      </c>
      <c r="K132" s="32" t="s">
        <v>175</v>
      </c>
      <c r="L132" s="18">
        <f t="shared" si="2"/>
        <v>999999999</v>
      </c>
    </row>
    <row r="133" spans="1:12" ht="15" customHeight="1" x14ac:dyDescent="0.25">
      <c r="A133" s="32" t="s">
        <v>177</v>
      </c>
      <c r="B133" s="32" t="s">
        <v>52</v>
      </c>
      <c r="C133" s="32" t="s">
        <v>154</v>
      </c>
      <c r="D133" s="32">
        <v>500</v>
      </c>
      <c r="E133" s="32">
        <v>1999.99</v>
      </c>
      <c r="F133" s="32" t="s">
        <v>173</v>
      </c>
      <c r="G133" s="32">
        <v>23.3096</v>
      </c>
      <c r="H133" s="32">
        <v>9.1200000000000003E-2</v>
      </c>
      <c r="I133" s="32" t="s">
        <v>174</v>
      </c>
      <c r="J133" s="32">
        <v>5</v>
      </c>
      <c r="K133" s="32" t="s">
        <v>175</v>
      </c>
      <c r="L133" s="18">
        <f t="shared" si="2"/>
        <v>999999999</v>
      </c>
    </row>
    <row r="134" spans="1:12" ht="15" customHeight="1" x14ac:dyDescent="0.25">
      <c r="A134" s="32" t="s">
        <v>177</v>
      </c>
      <c r="B134" s="32" t="s">
        <v>52</v>
      </c>
      <c r="C134" s="32" t="s">
        <v>154</v>
      </c>
      <c r="D134" s="32">
        <v>0</v>
      </c>
      <c r="E134" s="32">
        <v>99.99</v>
      </c>
      <c r="F134" s="32" t="s">
        <v>173</v>
      </c>
      <c r="G134" s="32">
        <v>23.3096</v>
      </c>
      <c r="H134" s="32">
        <v>9.1200000000000003E-2</v>
      </c>
      <c r="I134" s="32" t="s">
        <v>174</v>
      </c>
      <c r="J134" s="32">
        <v>5</v>
      </c>
      <c r="K134" s="32" t="s">
        <v>175</v>
      </c>
      <c r="L134" s="18">
        <f t="shared" si="2"/>
        <v>999999999</v>
      </c>
    </row>
    <row r="135" spans="1:12" ht="15" customHeight="1" x14ac:dyDescent="0.25">
      <c r="A135" s="32" t="s">
        <v>180</v>
      </c>
      <c r="B135" s="32" t="s">
        <v>176</v>
      </c>
      <c r="C135" s="32" t="s">
        <v>154</v>
      </c>
      <c r="D135" s="32">
        <v>2000</v>
      </c>
      <c r="E135" s="32">
        <v>99999.99</v>
      </c>
      <c r="F135" s="32" t="s">
        <v>173</v>
      </c>
      <c r="G135" s="32">
        <v>15.6272</v>
      </c>
      <c r="H135" s="32">
        <v>0.1008</v>
      </c>
      <c r="I135" s="32" t="s">
        <v>174</v>
      </c>
      <c r="J135" s="32">
        <v>5</v>
      </c>
      <c r="K135" s="32" t="s">
        <v>175</v>
      </c>
      <c r="L135" s="18">
        <f t="shared" si="2"/>
        <v>999999999</v>
      </c>
    </row>
    <row r="136" spans="1:12" ht="15" customHeight="1" x14ac:dyDescent="0.25">
      <c r="A136" s="32" t="s">
        <v>180</v>
      </c>
      <c r="B136" s="32" t="s">
        <v>176</v>
      </c>
      <c r="C136" s="32" t="s">
        <v>154</v>
      </c>
      <c r="D136" s="32">
        <v>500</v>
      </c>
      <c r="E136" s="32">
        <v>1999.99</v>
      </c>
      <c r="F136" s="32" t="s">
        <v>173</v>
      </c>
      <c r="G136" s="32">
        <v>15.6272</v>
      </c>
      <c r="H136" s="32">
        <v>0.1012</v>
      </c>
      <c r="I136" s="32" t="s">
        <v>174</v>
      </c>
      <c r="J136" s="32">
        <v>5</v>
      </c>
      <c r="K136" s="32" t="s">
        <v>175</v>
      </c>
      <c r="L136" s="18">
        <f t="shared" si="2"/>
        <v>999999999</v>
      </c>
    </row>
    <row r="137" spans="1:12" ht="15" customHeight="1" x14ac:dyDescent="0.25">
      <c r="A137" s="32" t="s">
        <v>180</v>
      </c>
      <c r="B137" s="32" t="s">
        <v>176</v>
      </c>
      <c r="C137" s="32" t="s">
        <v>154</v>
      </c>
      <c r="D137" s="32">
        <v>100</v>
      </c>
      <c r="E137" s="32">
        <v>249.99</v>
      </c>
      <c r="F137" s="32" t="s">
        <v>173</v>
      </c>
      <c r="G137" s="32">
        <v>15.6272</v>
      </c>
      <c r="H137" s="32">
        <v>0.2092</v>
      </c>
      <c r="I137" s="32" t="s">
        <v>174</v>
      </c>
      <c r="J137" s="32">
        <v>5</v>
      </c>
      <c r="K137" s="32" t="s">
        <v>175</v>
      </c>
      <c r="L137" s="18">
        <f t="shared" si="2"/>
        <v>999999999</v>
      </c>
    </row>
    <row r="138" spans="1:12" ht="15" customHeight="1" x14ac:dyDescent="0.25">
      <c r="A138" s="32" t="s">
        <v>180</v>
      </c>
      <c r="B138" s="32" t="s">
        <v>176</v>
      </c>
      <c r="C138" s="32" t="s">
        <v>154</v>
      </c>
      <c r="D138" s="32">
        <v>0</v>
      </c>
      <c r="E138" s="32">
        <v>99.99</v>
      </c>
      <c r="F138" s="32" t="s">
        <v>173</v>
      </c>
      <c r="G138" s="32">
        <v>15.6272</v>
      </c>
      <c r="H138" s="32">
        <v>0.2172</v>
      </c>
      <c r="I138" s="32" t="s">
        <v>174</v>
      </c>
      <c r="J138" s="32">
        <v>5</v>
      </c>
      <c r="K138" s="32" t="s">
        <v>175</v>
      </c>
      <c r="L138" s="18">
        <f t="shared" si="2"/>
        <v>999999999</v>
      </c>
    </row>
    <row r="139" spans="1:12" ht="15" customHeight="1" x14ac:dyDescent="0.25">
      <c r="A139" s="32" t="s">
        <v>180</v>
      </c>
      <c r="B139" s="32" t="s">
        <v>176</v>
      </c>
      <c r="C139" s="32" t="s">
        <v>154</v>
      </c>
      <c r="D139" s="32">
        <v>250</v>
      </c>
      <c r="E139" s="32">
        <v>499.99</v>
      </c>
      <c r="F139" s="32" t="s">
        <v>173</v>
      </c>
      <c r="G139" s="32">
        <v>15.6272</v>
      </c>
      <c r="H139" s="32">
        <v>0.20119999999999999</v>
      </c>
      <c r="I139" s="32" t="s">
        <v>174</v>
      </c>
      <c r="J139" s="32">
        <v>5</v>
      </c>
      <c r="K139" s="32" t="s">
        <v>175</v>
      </c>
      <c r="L139" s="18">
        <f t="shared" si="2"/>
        <v>999999999</v>
      </c>
    </row>
    <row r="140" spans="1:12" ht="15" customHeight="1" x14ac:dyDescent="0.25">
      <c r="A140" s="32" t="s">
        <v>182</v>
      </c>
      <c r="B140" s="32" t="s">
        <v>176</v>
      </c>
      <c r="C140" s="32" t="s">
        <v>154</v>
      </c>
      <c r="D140" s="32">
        <v>0.01</v>
      </c>
      <c r="E140" s="32">
        <v>0.5</v>
      </c>
      <c r="F140" s="32" t="s">
        <v>173</v>
      </c>
      <c r="G140" s="32">
        <v>1.5884</v>
      </c>
      <c r="H140" s="32">
        <v>0.58840000000000003</v>
      </c>
      <c r="I140" s="32" t="s">
        <v>174</v>
      </c>
      <c r="J140" s="32">
        <v>5</v>
      </c>
      <c r="K140" s="32" t="s">
        <v>183</v>
      </c>
      <c r="L140" s="18">
        <f t="shared" si="2"/>
        <v>999999999</v>
      </c>
    </row>
    <row r="141" spans="1:12" ht="15" customHeight="1" x14ac:dyDescent="0.25">
      <c r="A141" s="32" t="s">
        <v>182</v>
      </c>
      <c r="B141" s="32" t="s">
        <v>176</v>
      </c>
      <c r="C141" s="32" t="s">
        <v>154</v>
      </c>
      <c r="D141" s="32">
        <v>0.51</v>
      </c>
      <c r="E141" s="32">
        <v>1</v>
      </c>
      <c r="F141" s="32" t="s">
        <v>173</v>
      </c>
      <c r="G141" s="32">
        <v>1.5884</v>
      </c>
      <c r="H141" s="32">
        <v>0.58840000000000003</v>
      </c>
      <c r="I141" s="32" t="s">
        <v>174</v>
      </c>
      <c r="J141" s="32">
        <v>5</v>
      </c>
      <c r="K141" s="32" t="s">
        <v>183</v>
      </c>
      <c r="L141" s="18">
        <f t="shared" si="2"/>
        <v>999999999</v>
      </c>
    </row>
    <row r="142" spans="1:12" ht="15" customHeight="1" x14ac:dyDescent="0.25">
      <c r="A142" s="32" t="s">
        <v>182</v>
      </c>
      <c r="B142" s="32" t="s">
        <v>176</v>
      </c>
      <c r="C142" s="32" t="s">
        <v>154</v>
      </c>
      <c r="D142" s="32">
        <v>1.01</v>
      </c>
      <c r="E142" s="32">
        <v>1.5</v>
      </c>
      <c r="F142" s="32" t="s">
        <v>173</v>
      </c>
      <c r="G142" s="32">
        <v>1.5884</v>
      </c>
      <c r="H142" s="32">
        <v>0.58840000000000003</v>
      </c>
      <c r="I142" s="32" t="s">
        <v>174</v>
      </c>
      <c r="J142" s="32">
        <v>5</v>
      </c>
      <c r="K142" s="32" t="s">
        <v>183</v>
      </c>
      <c r="L142" s="18">
        <f t="shared" si="2"/>
        <v>999999999</v>
      </c>
    </row>
    <row r="143" spans="1:12" ht="15" customHeight="1" x14ac:dyDescent="0.25">
      <c r="A143" s="32" t="s">
        <v>182</v>
      </c>
      <c r="B143" s="32" t="s">
        <v>176</v>
      </c>
      <c r="C143" s="32" t="s">
        <v>154</v>
      </c>
      <c r="D143" s="32">
        <v>1.51</v>
      </c>
      <c r="E143" s="32">
        <v>2</v>
      </c>
      <c r="F143" s="32" t="s">
        <v>173</v>
      </c>
      <c r="G143" s="32">
        <v>1.5884</v>
      </c>
      <c r="H143" s="32">
        <v>0.58840000000000003</v>
      </c>
      <c r="I143" s="32" t="s">
        <v>174</v>
      </c>
      <c r="J143" s="32">
        <v>5</v>
      </c>
      <c r="K143" s="32" t="s">
        <v>183</v>
      </c>
      <c r="L143" s="18">
        <f t="shared" si="2"/>
        <v>999999999</v>
      </c>
    </row>
    <row r="144" spans="1:12" ht="15" customHeight="1" x14ac:dyDescent="0.25">
      <c r="A144" s="32" t="s">
        <v>182</v>
      </c>
      <c r="B144" s="32" t="s">
        <v>176</v>
      </c>
      <c r="C144" s="32" t="s">
        <v>154</v>
      </c>
      <c r="D144" s="32">
        <v>2.0099999999999998</v>
      </c>
      <c r="E144" s="32">
        <v>2.5</v>
      </c>
      <c r="F144" s="32" t="s">
        <v>173</v>
      </c>
      <c r="G144" s="32">
        <v>1.5884</v>
      </c>
      <c r="H144" s="32">
        <v>0.58840000000000003</v>
      </c>
      <c r="I144" s="32" t="s">
        <v>174</v>
      </c>
      <c r="J144" s="32">
        <v>5</v>
      </c>
      <c r="K144" s="32" t="s">
        <v>183</v>
      </c>
      <c r="L144" s="18">
        <f t="shared" si="2"/>
        <v>999999999</v>
      </c>
    </row>
    <row r="145" spans="1:12" ht="15" customHeight="1" x14ac:dyDescent="0.25">
      <c r="A145" s="32" t="s">
        <v>182</v>
      </c>
      <c r="B145" s="32" t="s">
        <v>176</v>
      </c>
      <c r="C145" s="32" t="s">
        <v>154</v>
      </c>
      <c r="D145" s="32">
        <v>70.510000000000005</v>
      </c>
      <c r="E145" s="32">
        <v>99.99</v>
      </c>
      <c r="F145" s="32" t="s">
        <v>173</v>
      </c>
      <c r="G145" s="32">
        <v>11.48</v>
      </c>
      <c r="H145" s="32">
        <v>0.104</v>
      </c>
      <c r="I145" s="32" t="s">
        <v>174</v>
      </c>
      <c r="J145" s="32">
        <v>5</v>
      </c>
      <c r="K145" s="32" t="s">
        <v>183</v>
      </c>
      <c r="L145" s="18">
        <f t="shared" si="2"/>
        <v>999999999</v>
      </c>
    </row>
    <row r="146" spans="1:12" ht="15" customHeight="1" x14ac:dyDescent="0.25">
      <c r="A146" s="32" t="s">
        <v>182</v>
      </c>
      <c r="B146" s="32" t="s">
        <v>176</v>
      </c>
      <c r="C146" s="32" t="s">
        <v>154</v>
      </c>
      <c r="D146" s="32">
        <v>100</v>
      </c>
      <c r="E146" s="32">
        <v>455.99</v>
      </c>
      <c r="F146" s="32" t="s">
        <v>173</v>
      </c>
      <c r="G146" s="32">
        <v>13.9872</v>
      </c>
      <c r="H146" s="32">
        <v>9.6799999999999997E-2</v>
      </c>
      <c r="I146" s="32" t="s">
        <v>174</v>
      </c>
      <c r="J146" s="32">
        <v>5</v>
      </c>
      <c r="K146" s="32" t="s">
        <v>183</v>
      </c>
      <c r="L146" s="18">
        <f t="shared" si="2"/>
        <v>999999999</v>
      </c>
    </row>
    <row r="147" spans="1:12" ht="15" customHeight="1" x14ac:dyDescent="0.25">
      <c r="A147" s="32" t="s">
        <v>182</v>
      </c>
      <c r="B147" s="32" t="s">
        <v>176</v>
      </c>
      <c r="C147" s="32" t="s">
        <v>154</v>
      </c>
      <c r="D147" s="32">
        <v>456</v>
      </c>
      <c r="E147" s="32">
        <v>99999.99</v>
      </c>
      <c r="F147" s="32" t="s">
        <v>173</v>
      </c>
      <c r="G147" s="32">
        <v>65.311999999999998</v>
      </c>
      <c r="H147" s="32">
        <v>9.8000000000000004E-2</v>
      </c>
      <c r="I147" s="32" t="s">
        <v>174</v>
      </c>
      <c r="J147" s="32">
        <v>5</v>
      </c>
      <c r="K147" s="32" t="s">
        <v>183</v>
      </c>
      <c r="L147" s="18">
        <f t="shared" si="2"/>
        <v>999999999</v>
      </c>
    </row>
    <row r="148" spans="1:12" ht="15" customHeight="1" x14ac:dyDescent="0.25">
      <c r="A148" s="32" t="s">
        <v>182</v>
      </c>
      <c r="B148" s="32" t="s">
        <v>176</v>
      </c>
      <c r="C148" s="32" t="s">
        <v>154</v>
      </c>
      <c r="D148" s="32">
        <v>0.01</v>
      </c>
      <c r="E148" s="32">
        <v>0.5</v>
      </c>
      <c r="F148" s="32" t="s">
        <v>173</v>
      </c>
      <c r="G148" s="32">
        <v>1.6728000000000001</v>
      </c>
      <c r="H148" s="32">
        <v>0.67279999999999995</v>
      </c>
      <c r="I148" s="32" t="s">
        <v>174</v>
      </c>
      <c r="J148" s="32">
        <v>5</v>
      </c>
      <c r="K148" s="32" t="s">
        <v>183</v>
      </c>
      <c r="L148" s="18">
        <f t="shared" si="2"/>
        <v>999999999</v>
      </c>
    </row>
    <row r="149" spans="1:12" ht="15" customHeight="1" x14ac:dyDescent="0.25">
      <c r="A149" s="32" t="s">
        <v>182</v>
      </c>
      <c r="B149" s="32" t="s">
        <v>176</v>
      </c>
      <c r="C149" s="32" t="s">
        <v>154</v>
      </c>
      <c r="D149" s="32">
        <v>0.51</v>
      </c>
      <c r="E149" s="32">
        <v>1</v>
      </c>
      <c r="F149" s="32" t="s">
        <v>173</v>
      </c>
      <c r="G149" s="32">
        <v>1.6728000000000001</v>
      </c>
      <c r="H149" s="32">
        <v>0.67279999999999995</v>
      </c>
      <c r="I149" s="32" t="s">
        <v>174</v>
      </c>
      <c r="J149" s="32">
        <v>5</v>
      </c>
      <c r="K149" s="32" t="s">
        <v>183</v>
      </c>
      <c r="L149" s="18">
        <f t="shared" si="2"/>
        <v>999999999</v>
      </c>
    </row>
    <row r="150" spans="1:12" ht="15" customHeight="1" x14ac:dyDescent="0.25">
      <c r="A150" s="32" t="s">
        <v>182</v>
      </c>
      <c r="B150" s="32" t="s">
        <v>176</v>
      </c>
      <c r="C150" s="32" t="s">
        <v>154</v>
      </c>
      <c r="D150" s="32">
        <v>1.01</v>
      </c>
      <c r="E150" s="32">
        <v>1.5</v>
      </c>
      <c r="F150" s="32" t="s">
        <v>173</v>
      </c>
      <c r="G150" s="32">
        <v>1.6728000000000001</v>
      </c>
      <c r="H150" s="32">
        <v>0.67279999999999995</v>
      </c>
      <c r="I150" s="32" t="s">
        <v>174</v>
      </c>
      <c r="J150" s="32">
        <v>5</v>
      </c>
      <c r="K150" s="32" t="s">
        <v>183</v>
      </c>
      <c r="L150" s="18">
        <f t="shared" si="2"/>
        <v>999999999</v>
      </c>
    </row>
    <row r="151" spans="1:12" ht="15" customHeight="1" x14ac:dyDescent="0.25">
      <c r="A151" s="32" t="s">
        <v>182</v>
      </c>
      <c r="B151" s="32" t="s">
        <v>176</v>
      </c>
      <c r="C151" s="32" t="s">
        <v>154</v>
      </c>
      <c r="D151" s="32">
        <v>1.51</v>
      </c>
      <c r="E151" s="32">
        <v>2</v>
      </c>
      <c r="F151" s="32" t="s">
        <v>173</v>
      </c>
      <c r="G151" s="32">
        <v>1.6728000000000001</v>
      </c>
      <c r="H151" s="32">
        <v>0.67279999999999995</v>
      </c>
      <c r="I151" s="32" t="s">
        <v>174</v>
      </c>
      <c r="J151" s="32">
        <v>5</v>
      </c>
      <c r="K151" s="32" t="s">
        <v>183</v>
      </c>
      <c r="L151" s="18">
        <f t="shared" si="2"/>
        <v>999999999</v>
      </c>
    </row>
    <row r="152" spans="1:12" ht="15" customHeight="1" x14ac:dyDescent="0.25">
      <c r="A152" s="32" t="s">
        <v>182</v>
      </c>
      <c r="B152" s="32" t="s">
        <v>176</v>
      </c>
      <c r="C152" s="32" t="s">
        <v>154</v>
      </c>
      <c r="D152" s="32">
        <v>2.0099999999999998</v>
      </c>
      <c r="E152" s="32">
        <v>2.5</v>
      </c>
      <c r="F152" s="32" t="s">
        <v>173</v>
      </c>
      <c r="G152" s="32">
        <v>1.6728000000000001</v>
      </c>
      <c r="H152" s="32">
        <v>0.67279999999999995</v>
      </c>
      <c r="I152" s="32" t="s">
        <v>174</v>
      </c>
      <c r="J152" s="32">
        <v>5</v>
      </c>
      <c r="K152" s="32" t="s">
        <v>183</v>
      </c>
      <c r="L152" s="18">
        <f t="shared" si="2"/>
        <v>999999999</v>
      </c>
    </row>
    <row r="153" spans="1:12" ht="15" customHeight="1" x14ac:dyDescent="0.25">
      <c r="A153" s="32" t="s">
        <v>182</v>
      </c>
      <c r="B153" s="32" t="s">
        <v>176</v>
      </c>
      <c r="C153" s="32" t="s">
        <v>154</v>
      </c>
      <c r="D153" s="32">
        <v>70.510000000000005</v>
      </c>
      <c r="E153" s="32">
        <v>99.99</v>
      </c>
      <c r="F153" s="32" t="s">
        <v>173</v>
      </c>
      <c r="G153" s="32">
        <v>11.451599999999999</v>
      </c>
      <c r="H153" s="32">
        <v>0.1036</v>
      </c>
      <c r="I153" s="32" t="s">
        <v>174</v>
      </c>
      <c r="J153" s="32">
        <v>5</v>
      </c>
      <c r="K153" s="32" t="s">
        <v>183</v>
      </c>
      <c r="L153" s="18">
        <f t="shared" si="2"/>
        <v>999999999</v>
      </c>
    </row>
    <row r="154" spans="1:12" ht="15" customHeight="1" x14ac:dyDescent="0.25">
      <c r="A154" s="32" t="s">
        <v>182</v>
      </c>
      <c r="B154" s="32" t="s">
        <v>176</v>
      </c>
      <c r="C154" s="32" t="s">
        <v>154</v>
      </c>
      <c r="D154" s="32">
        <v>100</v>
      </c>
      <c r="E154" s="32">
        <v>455.99</v>
      </c>
      <c r="F154" s="32" t="s">
        <v>173</v>
      </c>
      <c r="G154" s="32">
        <v>13.9472</v>
      </c>
      <c r="H154" s="32">
        <v>9.64E-2</v>
      </c>
      <c r="I154" s="32" t="s">
        <v>174</v>
      </c>
      <c r="J154" s="32">
        <v>5</v>
      </c>
      <c r="K154" s="32" t="s">
        <v>183</v>
      </c>
      <c r="L154" s="18">
        <f t="shared" si="2"/>
        <v>999999999</v>
      </c>
    </row>
    <row r="155" spans="1:12" ht="15" customHeight="1" x14ac:dyDescent="0.25">
      <c r="A155" s="32" t="s">
        <v>182</v>
      </c>
      <c r="B155" s="32" t="s">
        <v>176</v>
      </c>
      <c r="C155" s="32" t="s">
        <v>154</v>
      </c>
      <c r="D155" s="32">
        <v>456</v>
      </c>
      <c r="E155" s="32">
        <v>99999.99</v>
      </c>
      <c r="F155" s="32" t="s">
        <v>173</v>
      </c>
      <c r="G155" s="32">
        <v>65.129599999999996</v>
      </c>
      <c r="H155" s="32">
        <v>9.7600000000000006E-2</v>
      </c>
      <c r="I155" s="32" t="s">
        <v>174</v>
      </c>
      <c r="J155" s="32">
        <v>5</v>
      </c>
      <c r="K155" s="32" t="s">
        <v>183</v>
      </c>
      <c r="L155" s="18">
        <f t="shared" si="2"/>
        <v>999999999</v>
      </c>
    </row>
    <row r="156" spans="1:12" ht="15" customHeight="1" x14ac:dyDescent="0.25">
      <c r="A156" s="32" t="s">
        <v>177</v>
      </c>
      <c r="B156" s="32" t="s">
        <v>70</v>
      </c>
      <c r="C156" s="32" t="s">
        <v>154</v>
      </c>
      <c r="D156" s="32">
        <v>500</v>
      </c>
      <c r="E156" s="32">
        <v>1999.99</v>
      </c>
      <c r="F156" s="32" t="s">
        <v>173</v>
      </c>
      <c r="G156" s="32">
        <v>25.437999999999999</v>
      </c>
      <c r="H156" s="32">
        <v>0.2828</v>
      </c>
      <c r="I156" s="32" t="s">
        <v>174</v>
      </c>
      <c r="J156" s="32">
        <v>5</v>
      </c>
      <c r="K156" s="32" t="s">
        <v>175</v>
      </c>
      <c r="L156" s="18">
        <f t="shared" si="2"/>
        <v>999999999</v>
      </c>
    </row>
    <row r="157" spans="1:12" ht="15" customHeight="1" x14ac:dyDescent="0.25">
      <c r="A157" s="32" t="s">
        <v>177</v>
      </c>
      <c r="B157" s="32" t="s">
        <v>70</v>
      </c>
      <c r="C157" s="32" t="s">
        <v>154</v>
      </c>
      <c r="D157" s="32">
        <v>2000</v>
      </c>
      <c r="E157" s="32">
        <v>99999.99</v>
      </c>
      <c r="F157" s="32" t="s">
        <v>173</v>
      </c>
      <c r="G157" s="32">
        <v>25.437999999999999</v>
      </c>
      <c r="H157" s="32">
        <v>0.23760000000000001</v>
      </c>
      <c r="I157" s="32" t="s">
        <v>174</v>
      </c>
      <c r="J157" s="32">
        <v>5</v>
      </c>
      <c r="K157" s="32" t="s">
        <v>175</v>
      </c>
      <c r="L157" s="18">
        <f t="shared" si="2"/>
        <v>999999999</v>
      </c>
    </row>
    <row r="158" spans="1:12" ht="15" customHeight="1" x14ac:dyDescent="0.25">
      <c r="A158" s="32" t="s">
        <v>177</v>
      </c>
      <c r="B158" s="32" t="s">
        <v>70</v>
      </c>
      <c r="C158" s="32" t="s">
        <v>154</v>
      </c>
      <c r="D158" s="32">
        <v>250</v>
      </c>
      <c r="E158" s="32">
        <v>499.99</v>
      </c>
      <c r="F158" s="32" t="s">
        <v>173</v>
      </c>
      <c r="G158" s="32">
        <v>25.437999999999999</v>
      </c>
      <c r="H158" s="32">
        <v>0.2828</v>
      </c>
      <c r="I158" s="32" t="s">
        <v>174</v>
      </c>
      <c r="J158" s="32">
        <v>5</v>
      </c>
      <c r="K158" s="32" t="s">
        <v>175</v>
      </c>
      <c r="L158" s="18">
        <f t="shared" si="2"/>
        <v>999999999</v>
      </c>
    </row>
    <row r="159" spans="1:12" ht="15" customHeight="1" x14ac:dyDescent="0.25">
      <c r="A159" s="32" t="s">
        <v>177</v>
      </c>
      <c r="B159" s="32" t="s">
        <v>70</v>
      </c>
      <c r="C159" s="32" t="s">
        <v>154</v>
      </c>
      <c r="D159" s="32">
        <v>0</v>
      </c>
      <c r="E159" s="32">
        <v>99.99</v>
      </c>
      <c r="F159" s="32" t="s">
        <v>173</v>
      </c>
      <c r="G159" s="32">
        <v>25.437999999999999</v>
      </c>
      <c r="H159" s="32">
        <v>0.2828</v>
      </c>
      <c r="I159" s="32" t="s">
        <v>174</v>
      </c>
      <c r="J159" s="32">
        <v>5</v>
      </c>
      <c r="K159" s="32" t="s">
        <v>175</v>
      </c>
      <c r="L159" s="18">
        <f t="shared" si="2"/>
        <v>999999999</v>
      </c>
    </row>
    <row r="160" spans="1:12" ht="15" customHeight="1" x14ac:dyDescent="0.25">
      <c r="A160" s="32" t="s">
        <v>177</v>
      </c>
      <c r="B160" s="32" t="s">
        <v>70</v>
      </c>
      <c r="C160" s="32" t="s">
        <v>154</v>
      </c>
      <c r="D160" s="32">
        <v>100</v>
      </c>
      <c r="E160" s="32">
        <v>249.99</v>
      </c>
      <c r="F160" s="32" t="s">
        <v>173</v>
      </c>
      <c r="G160" s="32">
        <v>25.437999999999999</v>
      </c>
      <c r="H160" s="32">
        <v>0.2828</v>
      </c>
      <c r="I160" s="32" t="s">
        <v>174</v>
      </c>
      <c r="J160" s="32">
        <v>5</v>
      </c>
      <c r="K160" s="32" t="s">
        <v>175</v>
      </c>
      <c r="L160" s="18">
        <f t="shared" si="2"/>
        <v>999999999</v>
      </c>
    </row>
    <row r="161" spans="1:12" ht="15" customHeight="1" x14ac:dyDescent="0.25">
      <c r="A161" s="32" t="s">
        <v>180</v>
      </c>
      <c r="B161" s="32" t="s">
        <v>151</v>
      </c>
      <c r="C161" s="32" t="s">
        <v>154</v>
      </c>
      <c r="D161" s="32">
        <v>2000</v>
      </c>
      <c r="E161" s="32">
        <v>99999.99</v>
      </c>
      <c r="F161" s="32" t="s">
        <v>173</v>
      </c>
      <c r="G161" s="32">
        <v>21.627199999999998</v>
      </c>
      <c r="H161" s="32">
        <v>0.1812</v>
      </c>
      <c r="I161" s="32" t="s">
        <v>174</v>
      </c>
      <c r="J161" s="32">
        <v>4</v>
      </c>
      <c r="K161" s="32" t="s">
        <v>175</v>
      </c>
      <c r="L161" s="18">
        <f t="shared" si="2"/>
        <v>999999999</v>
      </c>
    </row>
    <row r="162" spans="1:12" ht="15" customHeight="1" x14ac:dyDescent="0.25">
      <c r="A162" s="32" t="s">
        <v>180</v>
      </c>
      <c r="B162" s="32" t="s">
        <v>151</v>
      </c>
      <c r="C162" s="32" t="s">
        <v>154</v>
      </c>
      <c r="D162" s="32">
        <v>250</v>
      </c>
      <c r="E162" s="32">
        <v>499.99</v>
      </c>
      <c r="F162" s="32" t="s">
        <v>173</v>
      </c>
      <c r="G162" s="32">
        <v>21.627199999999998</v>
      </c>
      <c r="H162" s="32">
        <v>0.19719999999999999</v>
      </c>
      <c r="I162" s="32" t="s">
        <v>174</v>
      </c>
      <c r="J162" s="32">
        <v>4</v>
      </c>
      <c r="K162" s="32" t="s">
        <v>175</v>
      </c>
      <c r="L162" s="18">
        <f t="shared" si="2"/>
        <v>999999999</v>
      </c>
    </row>
    <row r="163" spans="1:12" ht="15" customHeight="1" x14ac:dyDescent="0.25">
      <c r="A163" s="32" t="s">
        <v>180</v>
      </c>
      <c r="B163" s="32" t="s">
        <v>151</v>
      </c>
      <c r="C163" s="32" t="s">
        <v>154</v>
      </c>
      <c r="D163" s="32">
        <v>500</v>
      </c>
      <c r="E163" s="32">
        <v>1999.99</v>
      </c>
      <c r="F163" s="32" t="s">
        <v>173</v>
      </c>
      <c r="G163" s="32">
        <v>21.627199999999998</v>
      </c>
      <c r="H163" s="32">
        <v>0.19320000000000001</v>
      </c>
      <c r="I163" s="32" t="s">
        <v>174</v>
      </c>
      <c r="J163" s="32">
        <v>4</v>
      </c>
      <c r="K163" s="32" t="s">
        <v>175</v>
      </c>
      <c r="L163" s="18">
        <f t="shared" si="2"/>
        <v>999999999</v>
      </c>
    </row>
    <row r="164" spans="1:12" ht="15" customHeight="1" x14ac:dyDescent="0.25">
      <c r="A164" s="32" t="s">
        <v>180</v>
      </c>
      <c r="B164" s="32" t="s">
        <v>151</v>
      </c>
      <c r="C164" s="32" t="s">
        <v>154</v>
      </c>
      <c r="D164" s="32">
        <v>100</v>
      </c>
      <c r="E164" s="32">
        <v>249.99</v>
      </c>
      <c r="F164" s="32" t="s">
        <v>173</v>
      </c>
      <c r="G164" s="32">
        <v>21.627199999999998</v>
      </c>
      <c r="H164" s="32">
        <v>0.23319999999999999</v>
      </c>
      <c r="I164" s="32" t="s">
        <v>174</v>
      </c>
      <c r="J164" s="32">
        <v>4</v>
      </c>
      <c r="K164" s="32" t="s">
        <v>175</v>
      </c>
      <c r="L164" s="18">
        <f t="shared" si="2"/>
        <v>999999999</v>
      </c>
    </row>
    <row r="165" spans="1:12" ht="15" customHeight="1" x14ac:dyDescent="0.25">
      <c r="A165" s="32" t="s">
        <v>180</v>
      </c>
      <c r="B165" s="32" t="s">
        <v>151</v>
      </c>
      <c r="C165" s="32" t="s">
        <v>154</v>
      </c>
      <c r="D165" s="32">
        <v>0</v>
      </c>
      <c r="E165" s="32">
        <v>99.99</v>
      </c>
      <c r="F165" s="32" t="s">
        <v>173</v>
      </c>
      <c r="G165" s="32">
        <v>21.627199999999998</v>
      </c>
      <c r="H165" s="32">
        <v>0.26519999999999999</v>
      </c>
      <c r="I165" s="32" t="s">
        <v>174</v>
      </c>
      <c r="J165" s="32">
        <v>4</v>
      </c>
      <c r="K165" s="32" t="s">
        <v>175</v>
      </c>
      <c r="L165" s="18">
        <f t="shared" si="2"/>
        <v>999999999</v>
      </c>
    </row>
    <row r="166" spans="1:12" ht="15" customHeight="1" x14ac:dyDescent="0.25">
      <c r="A166" s="32" t="s">
        <v>184</v>
      </c>
      <c r="B166" s="32" t="s">
        <v>52</v>
      </c>
      <c r="C166" s="32" t="s">
        <v>154</v>
      </c>
      <c r="D166" s="32">
        <v>250</v>
      </c>
      <c r="E166" s="32">
        <v>499.99</v>
      </c>
      <c r="F166" s="32" t="s">
        <v>173</v>
      </c>
      <c r="G166" s="32">
        <v>23.8384</v>
      </c>
      <c r="H166" s="32">
        <v>8.0799999999999997E-2</v>
      </c>
      <c r="I166" s="32" t="s">
        <v>174</v>
      </c>
      <c r="J166" s="32">
        <v>4</v>
      </c>
      <c r="K166" s="32" t="s">
        <v>175</v>
      </c>
      <c r="L166" s="18">
        <f t="shared" si="2"/>
        <v>999999999</v>
      </c>
    </row>
    <row r="167" spans="1:12" ht="15" customHeight="1" x14ac:dyDescent="0.25">
      <c r="A167" s="32" t="s">
        <v>184</v>
      </c>
      <c r="B167" s="32" t="s">
        <v>52</v>
      </c>
      <c r="C167" s="32" t="s">
        <v>154</v>
      </c>
      <c r="D167" s="32">
        <v>100</v>
      </c>
      <c r="E167" s="32">
        <v>249.99</v>
      </c>
      <c r="F167" s="32" t="s">
        <v>173</v>
      </c>
      <c r="G167" s="32">
        <v>23.8384</v>
      </c>
      <c r="H167" s="32">
        <v>8.4400000000000003E-2</v>
      </c>
      <c r="I167" s="32" t="s">
        <v>174</v>
      </c>
      <c r="J167" s="32">
        <v>4</v>
      </c>
      <c r="K167" s="32" t="s">
        <v>175</v>
      </c>
      <c r="L167" s="18">
        <f t="shared" si="2"/>
        <v>999999999</v>
      </c>
    </row>
    <row r="168" spans="1:12" ht="15" customHeight="1" x14ac:dyDescent="0.25">
      <c r="A168" s="32" t="s">
        <v>184</v>
      </c>
      <c r="B168" s="32" t="s">
        <v>52</v>
      </c>
      <c r="C168" s="32" t="s">
        <v>154</v>
      </c>
      <c r="D168" s="32">
        <v>2000</v>
      </c>
      <c r="E168" s="32">
        <v>99999.99</v>
      </c>
      <c r="F168" s="32" t="s">
        <v>173</v>
      </c>
      <c r="G168" s="32">
        <v>23.8384</v>
      </c>
      <c r="H168" s="32">
        <v>7.8399999999999997E-2</v>
      </c>
      <c r="I168" s="32" t="s">
        <v>174</v>
      </c>
      <c r="J168" s="32">
        <v>4</v>
      </c>
      <c r="K168" s="32" t="s">
        <v>175</v>
      </c>
      <c r="L168" s="18">
        <f t="shared" si="2"/>
        <v>999999999</v>
      </c>
    </row>
    <row r="169" spans="1:12" ht="15" customHeight="1" x14ac:dyDescent="0.25">
      <c r="A169" s="32" t="s">
        <v>184</v>
      </c>
      <c r="B169" s="32" t="s">
        <v>52</v>
      </c>
      <c r="C169" s="32" t="s">
        <v>154</v>
      </c>
      <c r="D169" s="32">
        <v>500</v>
      </c>
      <c r="E169" s="32">
        <v>1999.99</v>
      </c>
      <c r="F169" s="32" t="s">
        <v>173</v>
      </c>
      <c r="G169" s="32">
        <v>23.8384</v>
      </c>
      <c r="H169" s="32">
        <v>7.8399999999999997E-2</v>
      </c>
      <c r="I169" s="32" t="s">
        <v>174</v>
      </c>
      <c r="J169" s="32">
        <v>4</v>
      </c>
      <c r="K169" s="32" t="s">
        <v>175</v>
      </c>
      <c r="L169" s="18">
        <f t="shared" si="2"/>
        <v>999999999</v>
      </c>
    </row>
    <row r="170" spans="1:12" ht="15" customHeight="1" x14ac:dyDescent="0.25">
      <c r="A170" s="32" t="s">
        <v>184</v>
      </c>
      <c r="B170" s="32" t="s">
        <v>52</v>
      </c>
      <c r="C170" s="32" t="s">
        <v>154</v>
      </c>
      <c r="D170" s="32">
        <v>0</v>
      </c>
      <c r="E170" s="32">
        <v>99.99</v>
      </c>
      <c r="F170" s="32" t="s">
        <v>173</v>
      </c>
      <c r="G170" s="32">
        <v>23.8384</v>
      </c>
      <c r="H170" s="32">
        <v>0.1004</v>
      </c>
      <c r="I170" s="32" t="s">
        <v>174</v>
      </c>
      <c r="J170" s="32">
        <v>4</v>
      </c>
      <c r="K170" s="32" t="s">
        <v>175</v>
      </c>
      <c r="L170" s="18">
        <f t="shared" si="2"/>
        <v>999999999</v>
      </c>
    </row>
    <row r="171" spans="1:12" ht="15" customHeight="1" x14ac:dyDescent="0.25">
      <c r="A171" s="32" t="s">
        <v>185</v>
      </c>
      <c r="B171" s="32" t="s">
        <v>55</v>
      </c>
      <c r="C171" s="32" t="s">
        <v>154</v>
      </c>
      <c r="D171" s="32">
        <v>100</v>
      </c>
      <c r="E171" s="32">
        <v>249.99</v>
      </c>
      <c r="F171" s="32" t="s">
        <v>173</v>
      </c>
      <c r="G171" s="32">
        <v>11.607200000000001</v>
      </c>
      <c r="H171" s="32">
        <v>0.1008</v>
      </c>
      <c r="I171" s="32" t="s">
        <v>174</v>
      </c>
      <c r="J171" s="32">
        <v>4</v>
      </c>
      <c r="K171" s="32" t="s">
        <v>175</v>
      </c>
      <c r="L171" s="18">
        <f t="shared" si="2"/>
        <v>999999999</v>
      </c>
    </row>
    <row r="172" spans="1:12" ht="15" customHeight="1" x14ac:dyDescent="0.25">
      <c r="A172" s="32" t="s">
        <v>185</v>
      </c>
      <c r="B172" s="32" t="s">
        <v>55</v>
      </c>
      <c r="C172" s="32" t="s">
        <v>154</v>
      </c>
      <c r="D172" s="32">
        <v>250</v>
      </c>
      <c r="E172" s="32">
        <v>499.99</v>
      </c>
      <c r="F172" s="32" t="s">
        <v>173</v>
      </c>
      <c r="G172" s="32">
        <v>11.607200000000001</v>
      </c>
      <c r="H172" s="32">
        <v>9.6799999999999997E-2</v>
      </c>
      <c r="I172" s="32" t="s">
        <v>174</v>
      </c>
      <c r="J172" s="32">
        <v>4</v>
      </c>
      <c r="K172" s="32" t="s">
        <v>175</v>
      </c>
      <c r="L172" s="18">
        <f t="shared" si="2"/>
        <v>999999999</v>
      </c>
    </row>
    <row r="173" spans="1:12" ht="15" customHeight="1" x14ac:dyDescent="0.25">
      <c r="A173" s="32" t="s">
        <v>185</v>
      </c>
      <c r="B173" s="32" t="s">
        <v>55</v>
      </c>
      <c r="C173" s="32" t="s">
        <v>154</v>
      </c>
      <c r="D173" s="32">
        <v>2000</v>
      </c>
      <c r="E173" s="32">
        <v>99999.99</v>
      </c>
      <c r="F173" s="32" t="s">
        <v>173</v>
      </c>
      <c r="G173" s="32">
        <v>11.607200000000001</v>
      </c>
      <c r="H173" s="32">
        <v>8.6400000000000005E-2</v>
      </c>
      <c r="I173" s="32" t="s">
        <v>174</v>
      </c>
      <c r="J173" s="32">
        <v>4</v>
      </c>
      <c r="K173" s="32" t="s">
        <v>175</v>
      </c>
      <c r="L173" s="18">
        <f t="shared" si="2"/>
        <v>999999999</v>
      </c>
    </row>
    <row r="174" spans="1:12" ht="15" customHeight="1" x14ac:dyDescent="0.25">
      <c r="A174" s="32" t="s">
        <v>185</v>
      </c>
      <c r="B174" s="32" t="s">
        <v>55</v>
      </c>
      <c r="C174" s="32" t="s">
        <v>154</v>
      </c>
      <c r="D174" s="32">
        <v>0</v>
      </c>
      <c r="E174" s="32">
        <v>99.99</v>
      </c>
      <c r="F174" s="32" t="s">
        <v>173</v>
      </c>
      <c r="G174" s="32">
        <v>11.607200000000001</v>
      </c>
      <c r="H174" s="32">
        <v>0.1464</v>
      </c>
      <c r="I174" s="32" t="s">
        <v>174</v>
      </c>
      <c r="J174" s="32">
        <v>4</v>
      </c>
      <c r="K174" s="32" t="s">
        <v>175</v>
      </c>
      <c r="L174" s="18">
        <f t="shared" si="2"/>
        <v>999999999</v>
      </c>
    </row>
    <row r="175" spans="1:12" ht="15" customHeight="1" x14ac:dyDescent="0.25">
      <c r="A175" s="32" t="s">
        <v>185</v>
      </c>
      <c r="B175" s="32" t="s">
        <v>55</v>
      </c>
      <c r="C175" s="32" t="s">
        <v>154</v>
      </c>
      <c r="D175" s="32">
        <v>500</v>
      </c>
      <c r="E175" s="32">
        <v>1999.99</v>
      </c>
      <c r="F175" s="32" t="s">
        <v>173</v>
      </c>
      <c r="G175" s="32">
        <v>11.607200000000001</v>
      </c>
      <c r="H175" s="32">
        <v>8.8400000000000006E-2</v>
      </c>
      <c r="I175" s="32" t="s">
        <v>174</v>
      </c>
      <c r="J175" s="32">
        <v>4</v>
      </c>
      <c r="K175" s="32" t="s">
        <v>175</v>
      </c>
      <c r="L175" s="18">
        <f t="shared" si="2"/>
        <v>999999999</v>
      </c>
    </row>
    <row r="176" spans="1:12" ht="15" customHeight="1" x14ac:dyDescent="0.25">
      <c r="A176" s="32" t="s">
        <v>185</v>
      </c>
      <c r="B176" s="32" t="s">
        <v>62</v>
      </c>
      <c r="C176" s="32" t="s">
        <v>154</v>
      </c>
      <c r="D176" s="32">
        <v>500</v>
      </c>
      <c r="E176" s="32">
        <v>1999.99</v>
      </c>
      <c r="F176" s="32" t="s">
        <v>173</v>
      </c>
      <c r="G176" s="32">
        <v>7.4272</v>
      </c>
      <c r="H176" s="32">
        <v>8.48E-2</v>
      </c>
      <c r="I176" s="32" t="s">
        <v>174</v>
      </c>
      <c r="J176" s="32">
        <v>3</v>
      </c>
      <c r="K176" s="32" t="s">
        <v>175</v>
      </c>
      <c r="L176" s="18">
        <f t="shared" si="2"/>
        <v>999999999</v>
      </c>
    </row>
    <row r="177" spans="1:12" ht="15" customHeight="1" x14ac:dyDescent="0.25">
      <c r="A177" s="32" t="s">
        <v>185</v>
      </c>
      <c r="B177" s="32" t="s">
        <v>62</v>
      </c>
      <c r="C177" s="32" t="s">
        <v>154</v>
      </c>
      <c r="D177" s="32">
        <v>0</v>
      </c>
      <c r="E177" s="32">
        <v>99.99</v>
      </c>
      <c r="F177" s="32" t="s">
        <v>173</v>
      </c>
      <c r="G177" s="32">
        <v>7.4272</v>
      </c>
      <c r="H177" s="32">
        <v>8.48E-2</v>
      </c>
      <c r="I177" s="32" t="s">
        <v>174</v>
      </c>
      <c r="J177" s="32">
        <v>3</v>
      </c>
      <c r="K177" s="32" t="s">
        <v>175</v>
      </c>
      <c r="L177" s="18">
        <f t="shared" si="2"/>
        <v>999999999</v>
      </c>
    </row>
    <row r="178" spans="1:12" ht="15" customHeight="1" x14ac:dyDescent="0.25">
      <c r="A178" s="32" t="s">
        <v>185</v>
      </c>
      <c r="B178" s="32" t="s">
        <v>62</v>
      </c>
      <c r="C178" s="32" t="s">
        <v>154</v>
      </c>
      <c r="D178" s="32">
        <v>100</v>
      </c>
      <c r="E178" s="32">
        <v>249.99</v>
      </c>
      <c r="F178" s="32" t="s">
        <v>173</v>
      </c>
      <c r="G178" s="32">
        <v>7.4272</v>
      </c>
      <c r="H178" s="32">
        <v>8.48E-2</v>
      </c>
      <c r="I178" s="32" t="s">
        <v>174</v>
      </c>
      <c r="J178" s="32">
        <v>3</v>
      </c>
      <c r="K178" s="32" t="s">
        <v>175</v>
      </c>
      <c r="L178" s="18">
        <f t="shared" si="2"/>
        <v>999999999</v>
      </c>
    </row>
    <row r="179" spans="1:12" ht="15" customHeight="1" x14ac:dyDescent="0.25">
      <c r="A179" s="32" t="s">
        <v>185</v>
      </c>
      <c r="B179" s="32" t="s">
        <v>62</v>
      </c>
      <c r="C179" s="32" t="s">
        <v>154</v>
      </c>
      <c r="D179" s="32">
        <v>250</v>
      </c>
      <c r="E179" s="32">
        <v>499.99</v>
      </c>
      <c r="F179" s="32" t="s">
        <v>173</v>
      </c>
      <c r="G179" s="32">
        <v>7.4272</v>
      </c>
      <c r="H179" s="32">
        <v>8.48E-2</v>
      </c>
      <c r="I179" s="32" t="s">
        <v>174</v>
      </c>
      <c r="J179" s="32">
        <v>3</v>
      </c>
      <c r="K179" s="32" t="s">
        <v>175</v>
      </c>
      <c r="L179" s="18">
        <f t="shared" si="2"/>
        <v>999999999</v>
      </c>
    </row>
    <row r="180" spans="1:12" ht="15" customHeight="1" x14ac:dyDescent="0.25">
      <c r="A180" s="32" t="s">
        <v>185</v>
      </c>
      <c r="B180" s="32" t="s">
        <v>62</v>
      </c>
      <c r="C180" s="32" t="s">
        <v>154</v>
      </c>
      <c r="D180" s="32">
        <v>2000</v>
      </c>
      <c r="E180" s="32">
        <v>99999.99</v>
      </c>
      <c r="F180" s="32" t="s">
        <v>173</v>
      </c>
      <c r="G180" s="32">
        <v>7.4272</v>
      </c>
      <c r="H180" s="32">
        <v>8.48E-2</v>
      </c>
      <c r="I180" s="32" t="s">
        <v>174</v>
      </c>
      <c r="J180" s="32">
        <v>3</v>
      </c>
      <c r="K180" s="32" t="s">
        <v>175</v>
      </c>
      <c r="L180" s="18">
        <f t="shared" si="2"/>
        <v>999999999</v>
      </c>
    </row>
    <row r="181" spans="1:12" ht="15" customHeight="1" x14ac:dyDescent="0.25">
      <c r="A181" s="32" t="s">
        <v>180</v>
      </c>
      <c r="B181" s="32" t="s">
        <v>151</v>
      </c>
      <c r="C181" s="32" t="s">
        <v>154</v>
      </c>
      <c r="D181" s="32">
        <v>0</v>
      </c>
      <c r="E181" s="32">
        <v>99.99</v>
      </c>
      <c r="F181" s="32" t="s">
        <v>173</v>
      </c>
      <c r="G181" s="32">
        <v>23.027200000000001</v>
      </c>
      <c r="H181" s="32">
        <v>0.2772</v>
      </c>
      <c r="I181" s="32" t="s">
        <v>174</v>
      </c>
      <c r="J181" s="32">
        <v>3</v>
      </c>
      <c r="K181" s="32" t="s">
        <v>175</v>
      </c>
      <c r="L181" s="18">
        <f t="shared" si="2"/>
        <v>999999999</v>
      </c>
    </row>
    <row r="182" spans="1:12" ht="15" customHeight="1" x14ac:dyDescent="0.25">
      <c r="A182" s="32" t="s">
        <v>180</v>
      </c>
      <c r="B182" s="32" t="s">
        <v>151</v>
      </c>
      <c r="C182" s="32" t="s">
        <v>154</v>
      </c>
      <c r="D182" s="32">
        <v>100</v>
      </c>
      <c r="E182" s="32">
        <v>249.99</v>
      </c>
      <c r="F182" s="32" t="s">
        <v>173</v>
      </c>
      <c r="G182" s="32">
        <v>23.027200000000001</v>
      </c>
      <c r="H182" s="32">
        <v>0.23719999999999999</v>
      </c>
      <c r="I182" s="32" t="s">
        <v>174</v>
      </c>
      <c r="J182" s="32">
        <v>3</v>
      </c>
      <c r="K182" s="32" t="s">
        <v>175</v>
      </c>
      <c r="L182" s="18">
        <f t="shared" si="2"/>
        <v>999999999</v>
      </c>
    </row>
    <row r="183" spans="1:12" ht="15" customHeight="1" x14ac:dyDescent="0.25">
      <c r="A183" s="32" t="s">
        <v>180</v>
      </c>
      <c r="B183" s="32" t="s">
        <v>151</v>
      </c>
      <c r="C183" s="32" t="s">
        <v>154</v>
      </c>
      <c r="D183" s="32">
        <v>2000</v>
      </c>
      <c r="E183" s="32">
        <v>99999.99</v>
      </c>
      <c r="F183" s="32" t="s">
        <v>173</v>
      </c>
      <c r="G183" s="32">
        <v>23.027200000000001</v>
      </c>
      <c r="H183" s="32">
        <v>0.1852</v>
      </c>
      <c r="I183" s="32" t="s">
        <v>174</v>
      </c>
      <c r="J183" s="32">
        <v>3</v>
      </c>
      <c r="K183" s="32" t="s">
        <v>175</v>
      </c>
      <c r="L183" s="18">
        <f t="shared" si="2"/>
        <v>999999999</v>
      </c>
    </row>
    <row r="184" spans="1:12" ht="15" customHeight="1" x14ac:dyDescent="0.25">
      <c r="A184" s="32" t="s">
        <v>180</v>
      </c>
      <c r="B184" s="32" t="s">
        <v>151</v>
      </c>
      <c r="C184" s="32" t="s">
        <v>154</v>
      </c>
      <c r="D184" s="32">
        <v>250</v>
      </c>
      <c r="E184" s="32">
        <v>499.99</v>
      </c>
      <c r="F184" s="32" t="s">
        <v>173</v>
      </c>
      <c r="G184" s="32">
        <v>23.027200000000001</v>
      </c>
      <c r="H184" s="32">
        <v>0.2072</v>
      </c>
      <c r="I184" s="32" t="s">
        <v>174</v>
      </c>
      <c r="J184" s="32">
        <v>3</v>
      </c>
      <c r="K184" s="32" t="s">
        <v>175</v>
      </c>
      <c r="L184" s="18">
        <f t="shared" si="2"/>
        <v>999999999</v>
      </c>
    </row>
    <row r="185" spans="1:12" ht="15" customHeight="1" x14ac:dyDescent="0.25">
      <c r="A185" s="32" t="s">
        <v>180</v>
      </c>
      <c r="B185" s="32" t="s">
        <v>151</v>
      </c>
      <c r="C185" s="32" t="s">
        <v>154</v>
      </c>
      <c r="D185" s="32">
        <v>500</v>
      </c>
      <c r="E185" s="32">
        <v>1999.99</v>
      </c>
      <c r="F185" s="32" t="s">
        <v>173</v>
      </c>
      <c r="G185" s="32">
        <v>23.027200000000001</v>
      </c>
      <c r="H185" s="32">
        <v>0.19719999999999999</v>
      </c>
      <c r="I185" s="32" t="s">
        <v>174</v>
      </c>
      <c r="J185" s="32">
        <v>3</v>
      </c>
      <c r="K185" s="32" t="s">
        <v>175</v>
      </c>
      <c r="L185" s="18">
        <f t="shared" si="2"/>
        <v>999999999</v>
      </c>
    </row>
    <row r="186" spans="1:12" ht="15" customHeight="1" x14ac:dyDescent="0.25">
      <c r="A186" s="32" t="s">
        <v>184</v>
      </c>
      <c r="B186" s="32" t="s">
        <v>59</v>
      </c>
      <c r="C186" s="32" t="s">
        <v>154</v>
      </c>
      <c r="D186" s="32">
        <v>500</v>
      </c>
      <c r="E186" s="32">
        <v>1999.99</v>
      </c>
      <c r="F186" s="32" t="s">
        <v>173</v>
      </c>
      <c r="G186" s="32">
        <v>3.4552</v>
      </c>
      <c r="H186" s="32">
        <v>5.4399999999999997E-2</v>
      </c>
      <c r="I186" s="32" t="s">
        <v>174</v>
      </c>
      <c r="J186" s="32">
        <v>3</v>
      </c>
      <c r="K186" s="32" t="s">
        <v>175</v>
      </c>
      <c r="L186" s="18">
        <f t="shared" si="2"/>
        <v>999999999</v>
      </c>
    </row>
    <row r="187" spans="1:12" ht="15" customHeight="1" x14ac:dyDescent="0.25">
      <c r="A187" s="32" t="s">
        <v>184</v>
      </c>
      <c r="B187" s="32" t="s">
        <v>59</v>
      </c>
      <c r="C187" s="32" t="s">
        <v>154</v>
      </c>
      <c r="D187" s="32">
        <v>0</v>
      </c>
      <c r="E187" s="32">
        <v>99.99</v>
      </c>
      <c r="F187" s="32" t="s">
        <v>173</v>
      </c>
      <c r="G187" s="32">
        <v>3.4552</v>
      </c>
      <c r="H187" s="32">
        <v>8.2400000000000001E-2</v>
      </c>
      <c r="I187" s="32" t="s">
        <v>174</v>
      </c>
      <c r="J187" s="32">
        <v>3</v>
      </c>
      <c r="K187" s="32" t="s">
        <v>175</v>
      </c>
      <c r="L187" s="18">
        <f t="shared" si="2"/>
        <v>999999999</v>
      </c>
    </row>
    <row r="188" spans="1:12" ht="15" customHeight="1" x14ac:dyDescent="0.25">
      <c r="A188" s="32" t="s">
        <v>184</v>
      </c>
      <c r="B188" s="32" t="s">
        <v>59</v>
      </c>
      <c r="C188" s="32" t="s">
        <v>154</v>
      </c>
      <c r="D188" s="32">
        <v>250</v>
      </c>
      <c r="E188" s="32">
        <v>499.99</v>
      </c>
      <c r="F188" s="32" t="s">
        <v>173</v>
      </c>
      <c r="G188" s="32">
        <v>3.4552</v>
      </c>
      <c r="H188" s="32">
        <v>5.4399999999999997E-2</v>
      </c>
      <c r="I188" s="32" t="s">
        <v>174</v>
      </c>
      <c r="J188" s="32">
        <v>3</v>
      </c>
      <c r="K188" s="32" t="s">
        <v>175</v>
      </c>
      <c r="L188" s="18">
        <f t="shared" si="2"/>
        <v>999999999</v>
      </c>
    </row>
    <row r="189" spans="1:12" ht="15" customHeight="1" x14ac:dyDescent="0.25">
      <c r="A189" s="32" t="s">
        <v>184</v>
      </c>
      <c r="B189" s="32" t="s">
        <v>59</v>
      </c>
      <c r="C189" s="32" t="s">
        <v>154</v>
      </c>
      <c r="D189" s="32">
        <v>2000</v>
      </c>
      <c r="E189" s="32">
        <v>99999.99</v>
      </c>
      <c r="F189" s="32" t="s">
        <v>173</v>
      </c>
      <c r="G189" s="32">
        <v>3.4552</v>
      </c>
      <c r="H189" s="32">
        <v>5.4399999999999997E-2</v>
      </c>
      <c r="I189" s="32" t="s">
        <v>174</v>
      </c>
      <c r="J189" s="32">
        <v>3</v>
      </c>
      <c r="K189" s="32" t="s">
        <v>175</v>
      </c>
      <c r="L189" s="18">
        <f t="shared" si="2"/>
        <v>44560.821600000003</v>
      </c>
    </row>
    <row r="190" spans="1:12" ht="15" customHeight="1" x14ac:dyDescent="0.25">
      <c r="A190" s="32" t="s">
        <v>184</v>
      </c>
      <c r="B190" s="32" t="s">
        <v>59</v>
      </c>
      <c r="C190" s="32" t="s">
        <v>154</v>
      </c>
      <c r="D190" s="32">
        <v>100</v>
      </c>
      <c r="E190" s="32">
        <v>249.99</v>
      </c>
      <c r="F190" s="32" t="s">
        <v>173</v>
      </c>
      <c r="G190" s="32">
        <v>3.4552</v>
      </c>
      <c r="H190" s="32">
        <v>5.6399999999999999E-2</v>
      </c>
      <c r="I190" s="32" t="s">
        <v>174</v>
      </c>
      <c r="J190" s="32">
        <v>3</v>
      </c>
      <c r="K190" s="32" t="s">
        <v>175</v>
      </c>
      <c r="L190" s="18">
        <f t="shared" si="2"/>
        <v>999999999</v>
      </c>
    </row>
    <row r="191" spans="1:12" ht="15" customHeight="1" x14ac:dyDescent="0.25">
      <c r="A191" s="32" t="s">
        <v>184</v>
      </c>
      <c r="B191" s="32" t="s">
        <v>59</v>
      </c>
      <c r="C191" s="32" t="s">
        <v>154</v>
      </c>
      <c r="D191" s="32">
        <v>2000</v>
      </c>
      <c r="E191" s="32">
        <v>99999.99</v>
      </c>
      <c r="F191" s="32" t="s">
        <v>181</v>
      </c>
      <c r="G191" s="32">
        <v>1.4992000000000001</v>
      </c>
      <c r="H191" s="32">
        <v>4.24E-2</v>
      </c>
      <c r="I191" s="32" t="s">
        <v>174</v>
      </c>
      <c r="J191" s="32">
        <v>3</v>
      </c>
      <c r="K191" s="32" t="s">
        <v>175</v>
      </c>
      <c r="L191" s="18">
        <f t="shared" si="2"/>
        <v>34731.228600000002</v>
      </c>
    </row>
    <row r="192" spans="1:12" ht="15" customHeight="1" x14ac:dyDescent="0.25">
      <c r="A192" s="32" t="s">
        <v>184</v>
      </c>
      <c r="B192" s="32" t="s">
        <v>59</v>
      </c>
      <c r="C192" s="32" t="s">
        <v>154</v>
      </c>
      <c r="D192" s="32">
        <v>100</v>
      </c>
      <c r="E192" s="32">
        <v>249.99</v>
      </c>
      <c r="F192" s="32" t="s">
        <v>181</v>
      </c>
      <c r="G192" s="32">
        <v>1.4992000000000001</v>
      </c>
      <c r="H192" s="32">
        <v>4.24E-2</v>
      </c>
      <c r="I192" s="32" t="s">
        <v>174</v>
      </c>
      <c r="J192" s="32">
        <v>3</v>
      </c>
      <c r="K192" s="32" t="s">
        <v>175</v>
      </c>
      <c r="L192" s="18">
        <f t="shared" si="2"/>
        <v>999999999</v>
      </c>
    </row>
    <row r="193" spans="1:12" ht="15" customHeight="1" x14ac:dyDescent="0.25">
      <c r="A193" s="32" t="s">
        <v>184</v>
      </c>
      <c r="B193" s="32" t="s">
        <v>59</v>
      </c>
      <c r="C193" s="32" t="s">
        <v>154</v>
      </c>
      <c r="D193" s="32">
        <v>250</v>
      </c>
      <c r="E193" s="32">
        <v>499.99</v>
      </c>
      <c r="F193" s="32" t="s">
        <v>181</v>
      </c>
      <c r="G193" s="32">
        <v>1.4992000000000001</v>
      </c>
      <c r="H193" s="32">
        <v>4.24E-2</v>
      </c>
      <c r="I193" s="32" t="s">
        <v>174</v>
      </c>
      <c r="J193" s="32">
        <v>3</v>
      </c>
      <c r="K193" s="32" t="s">
        <v>175</v>
      </c>
      <c r="L193" s="18">
        <f t="shared" si="2"/>
        <v>999999999</v>
      </c>
    </row>
    <row r="194" spans="1:12" ht="15" customHeight="1" x14ac:dyDescent="0.25">
      <c r="A194" s="32" t="s">
        <v>184</v>
      </c>
      <c r="B194" s="32" t="s">
        <v>59</v>
      </c>
      <c r="C194" s="32" t="s">
        <v>154</v>
      </c>
      <c r="D194" s="32">
        <v>500</v>
      </c>
      <c r="E194" s="32">
        <v>1999.99</v>
      </c>
      <c r="F194" s="32" t="s">
        <v>181</v>
      </c>
      <c r="G194" s="32">
        <v>1.4992000000000001</v>
      </c>
      <c r="H194" s="32">
        <v>4.24E-2</v>
      </c>
      <c r="I194" s="32" t="s">
        <v>174</v>
      </c>
      <c r="J194" s="32">
        <v>3</v>
      </c>
      <c r="K194" s="32" t="s">
        <v>175</v>
      </c>
      <c r="L194" s="18">
        <f t="shared" ref="L194:L257" si="3">IF(AND(B194=Quote_Port,D194&lt;=Quote_Weight,Quote_Weight&lt;=E194,OR(Quote_2Day="No",J194&lt;=2)),MAX(G194,Quote_Weight*H194)*Quote_USDINR,999999999)</f>
        <v>999999999</v>
      </c>
    </row>
    <row r="195" spans="1:12" ht="15" customHeight="1" x14ac:dyDescent="0.25">
      <c r="A195" s="32" t="s">
        <v>184</v>
      </c>
      <c r="B195" s="32" t="s">
        <v>59</v>
      </c>
      <c r="C195" s="32" t="s">
        <v>154</v>
      </c>
      <c r="D195" s="32">
        <v>0</v>
      </c>
      <c r="E195" s="32">
        <v>99.99</v>
      </c>
      <c r="F195" s="32" t="s">
        <v>181</v>
      </c>
      <c r="G195" s="32">
        <v>1.4992000000000001</v>
      </c>
      <c r="H195" s="32">
        <v>4.8399999999999999E-2</v>
      </c>
      <c r="I195" s="32" t="s">
        <v>174</v>
      </c>
      <c r="J195" s="32">
        <v>3</v>
      </c>
      <c r="K195" s="32" t="s">
        <v>175</v>
      </c>
      <c r="L195" s="18">
        <f t="shared" si="3"/>
        <v>999999999</v>
      </c>
    </row>
    <row r="196" spans="1:12" ht="15" customHeight="1" x14ac:dyDescent="0.25">
      <c r="A196" s="32" t="s">
        <v>180</v>
      </c>
      <c r="B196" s="32" t="s">
        <v>52</v>
      </c>
      <c r="C196" s="32" t="s">
        <v>154</v>
      </c>
      <c r="D196" s="32">
        <v>100</v>
      </c>
      <c r="E196" s="32">
        <v>249.99</v>
      </c>
      <c r="F196" s="32" t="s">
        <v>173</v>
      </c>
      <c r="G196" s="32">
        <v>9.0272000000000006</v>
      </c>
      <c r="H196" s="32">
        <v>7.7200000000000005E-2</v>
      </c>
      <c r="I196" s="32" t="s">
        <v>174</v>
      </c>
      <c r="J196" s="32">
        <v>3</v>
      </c>
      <c r="K196" s="32" t="s">
        <v>175</v>
      </c>
      <c r="L196" s="18">
        <f t="shared" si="3"/>
        <v>999999999</v>
      </c>
    </row>
    <row r="197" spans="1:12" ht="15" customHeight="1" x14ac:dyDescent="0.25">
      <c r="A197" s="32" t="s">
        <v>180</v>
      </c>
      <c r="B197" s="32" t="s">
        <v>52</v>
      </c>
      <c r="C197" s="32" t="s">
        <v>154</v>
      </c>
      <c r="D197" s="32">
        <v>250</v>
      </c>
      <c r="E197" s="32">
        <v>499.99</v>
      </c>
      <c r="F197" s="32" t="s">
        <v>173</v>
      </c>
      <c r="G197" s="32">
        <v>9.0272000000000006</v>
      </c>
      <c r="H197" s="32">
        <v>7.6799999999999993E-2</v>
      </c>
      <c r="I197" s="32" t="s">
        <v>174</v>
      </c>
      <c r="J197" s="32">
        <v>3</v>
      </c>
      <c r="K197" s="32" t="s">
        <v>175</v>
      </c>
      <c r="L197" s="18">
        <f t="shared" si="3"/>
        <v>999999999</v>
      </c>
    </row>
    <row r="198" spans="1:12" ht="15" customHeight="1" x14ac:dyDescent="0.25">
      <c r="A198" s="32" t="s">
        <v>180</v>
      </c>
      <c r="B198" s="32" t="s">
        <v>52</v>
      </c>
      <c r="C198" s="32" t="s">
        <v>154</v>
      </c>
      <c r="D198" s="32">
        <v>500</v>
      </c>
      <c r="E198" s="32">
        <v>1999.99</v>
      </c>
      <c r="F198" s="32" t="s">
        <v>173</v>
      </c>
      <c r="G198" s="32">
        <v>9.0272000000000006</v>
      </c>
      <c r="H198" s="32">
        <v>7.6399999999999996E-2</v>
      </c>
      <c r="I198" s="32" t="s">
        <v>174</v>
      </c>
      <c r="J198" s="32">
        <v>3</v>
      </c>
      <c r="K198" s="32" t="s">
        <v>175</v>
      </c>
      <c r="L198" s="18">
        <f t="shared" si="3"/>
        <v>999999999</v>
      </c>
    </row>
    <row r="199" spans="1:12" ht="15" customHeight="1" x14ac:dyDescent="0.25">
      <c r="A199" s="32" t="s">
        <v>180</v>
      </c>
      <c r="B199" s="32" t="s">
        <v>52</v>
      </c>
      <c r="C199" s="32" t="s">
        <v>154</v>
      </c>
      <c r="D199" s="32">
        <v>0</v>
      </c>
      <c r="E199" s="32">
        <v>99.99</v>
      </c>
      <c r="F199" s="32" t="s">
        <v>173</v>
      </c>
      <c r="G199" s="32">
        <v>9.0272000000000006</v>
      </c>
      <c r="H199" s="32">
        <v>8.8800000000000004E-2</v>
      </c>
      <c r="I199" s="32" t="s">
        <v>174</v>
      </c>
      <c r="J199" s="32">
        <v>3</v>
      </c>
      <c r="K199" s="32" t="s">
        <v>175</v>
      </c>
      <c r="L199" s="18">
        <f t="shared" si="3"/>
        <v>999999999</v>
      </c>
    </row>
    <row r="200" spans="1:12" ht="15" customHeight="1" x14ac:dyDescent="0.25">
      <c r="A200" s="32" t="s">
        <v>180</v>
      </c>
      <c r="B200" s="32" t="s">
        <v>52</v>
      </c>
      <c r="C200" s="32" t="s">
        <v>154</v>
      </c>
      <c r="D200" s="32">
        <v>2000</v>
      </c>
      <c r="E200" s="32">
        <v>99999.99</v>
      </c>
      <c r="F200" s="32" t="s">
        <v>173</v>
      </c>
      <c r="G200" s="32">
        <v>9.0272000000000006</v>
      </c>
      <c r="H200" s="32">
        <v>7.5999999999999998E-2</v>
      </c>
      <c r="I200" s="32" t="s">
        <v>174</v>
      </c>
      <c r="J200" s="32">
        <v>3</v>
      </c>
      <c r="K200" s="32" t="s">
        <v>175</v>
      </c>
      <c r="L200" s="18">
        <f t="shared" si="3"/>
        <v>999999999</v>
      </c>
    </row>
    <row r="201" spans="1:12" ht="15" customHeight="1" x14ac:dyDescent="0.25">
      <c r="A201" s="32" t="s">
        <v>185</v>
      </c>
      <c r="B201" s="32" t="s">
        <v>52</v>
      </c>
      <c r="C201" s="32" t="s">
        <v>154</v>
      </c>
      <c r="D201" s="32">
        <v>0</v>
      </c>
      <c r="E201" s="32">
        <v>99.99</v>
      </c>
      <c r="F201" s="32" t="s">
        <v>173</v>
      </c>
      <c r="G201" s="32">
        <v>7.1871999999999998</v>
      </c>
      <c r="H201" s="32">
        <v>8.5599999999999996E-2</v>
      </c>
      <c r="I201" s="32" t="s">
        <v>174</v>
      </c>
      <c r="J201" s="32">
        <v>3</v>
      </c>
      <c r="K201" s="32" t="s">
        <v>175</v>
      </c>
      <c r="L201" s="18">
        <f t="shared" si="3"/>
        <v>999999999</v>
      </c>
    </row>
    <row r="202" spans="1:12" ht="15" customHeight="1" x14ac:dyDescent="0.25">
      <c r="A202" s="32" t="s">
        <v>185</v>
      </c>
      <c r="B202" s="32" t="s">
        <v>52</v>
      </c>
      <c r="C202" s="32" t="s">
        <v>154</v>
      </c>
      <c r="D202" s="32">
        <v>100</v>
      </c>
      <c r="E202" s="32">
        <v>249.99</v>
      </c>
      <c r="F202" s="32" t="s">
        <v>173</v>
      </c>
      <c r="G202" s="32">
        <v>7.1871999999999998</v>
      </c>
      <c r="H202" s="32">
        <v>7.1999999999999995E-2</v>
      </c>
      <c r="I202" s="32" t="s">
        <v>174</v>
      </c>
      <c r="J202" s="32">
        <v>3</v>
      </c>
      <c r="K202" s="32" t="s">
        <v>175</v>
      </c>
      <c r="L202" s="18">
        <f t="shared" si="3"/>
        <v>999999999</v>
      </c>
    </row>
    <row r="203" spans="1:12" ht="15" customHeight="1" x14ac:dyDescent="0.25">
      <c r="A203" s="32" t="s">
        <v>185</v>
      </c>
      <c r="B203" s="32" t="s">
        <v>52</v>
      </c>
      <c r="C203" s="32" t="s">
        <v>154</v>
      </c>
      <c r="D203" s="32">
        <v>500</v>
      </c>
      <c r="E203" s="32">
        <v>1999.99</v>
      </c>
      <c r="F203" s="32" t="s">
        <v>173</v>
      </c>
      <c r="G203" s="32">
        <v>7.1871999999999998</v>
      </c>
      <c r="H203" s="32">
        <v>7.1999999999999995E-2</v>
      </c>
      <c r="I203" s="32" t="s">
        <v>174</v>
      </c>
      <c r="J203" s="32">
        <v>3</v>
      </c>
      <c r="K203" s="32" t="s">
        <v>175</v>
      </c>
      <c r="L203" s="18">
        <f t="shared" si="3"/>
        <v>999999999</v>
      </c>
    </row>
    <row r="204" spans="1:12" ht="15" customHeight="1" x14ac:dyDescent="0.25">
      <c r="A204" s="32" t="s">
        <v>185</v>
      </c>
      <c r="B204" s="32" t="s">
        <v>52</v>
      </c>
      <c r="C204" s="32" t="s">
        <v>154</v>
      </c>
      <c r="D204" s="32">
        <v>2000</v>
      </c>
      <c r="E204" s="32">
        <v>99999.99</v>
      </c>
      <c r="F204" s="32" t="s">
        <v>173</v>
      </c>
      <c r="G204" s="32">
        <v>7.1871999999999998</v>
      </c>
      <c r="H204" s="32">
        <v>7.1999999999999995E-2</v>
      </c>
      <c r="I204" s="32" t="s">
        <v>174</v>
      </c>
      <c r="J204" s="32">
        <v>3</v>
      </c>
      <c r="K204" s="32" t="s">
        <v>175</v>
      </c>
      <c r="L204" s="18">
        <f t="shared" si="3"/>
        <v>999999999</v>
      </c>
    </row>
    <row r="205" spans="1:12" ht="15" customHeight="1" x14ac:dyDescent="0.25">
      <c r="A205" s="32" t="s">
        <v>185</v>
      </c>
      <c r="B205" s="32" t="s">
        <v>52</v>
      </c>
      <c r="C205" s="32" t="s">
        <v>154</v>
      </c>
      <c r="D205" s="32">
        <v>250</v>
      </c>
      <c r="E205" s="32">
        <v>499.99</v>
      </c>
      <c r="F205" s="32" t="s">
        <v>173</v>
      </c>
      <c r="G205" s="32">
        <v>7.1871999999999998</v>
      </c>
      <c r="H205" s="32">
        <v>7.1999999999999995E-2</v>
      </c>
      <c r="I205" s="32" t="s">
        <v>174</v>
      </c>
      <c r="J205" s="32">
        <v>3</v>
      </c>
      <c r="K205" s="32" t="s">
        <v>175</v>
      </c>
      <c r="L205" s="18">
        <f t="shared" si="3"/>
        <v>999999999</v>
      </c>
    </row>
    <row r="206" spans="1:12" ht="15" customHeight="1" x14ac:dyDescent="0.25">
      <c r="A206" s="32" t="s">
        <v>185</v>
      </c>
      <c r="B206" s="32" t="s">
        <v>55</v>
      </c>
      <c r="C206" s="32" t="s">
        <v>154</v>
      </c>
      <c r="D206" s="32">
        <v>250</v>
      </c>
      <c r="E206" s="32">
        <v>499.99</v>
      </c>
      <c r="F206" s="32" t="s">
        <v>181</v>
      </c>
      <c r="G206" s="32">
        <v>5.8071999999999999</v>
      </c>
      <c r="H206" s="32">
        <v>8.2400000000000001E-2</v>
      </c>
      <c r="I206" s="32" t="s">
        <v>174</v>
      </c>
      <c r="J206" s="32">
        <v>3</v>
      </c>
      <c r="K206" s="32" t="s">
        <v>175</v>
      </c>
      <c r="L206" s="18">
        <f t="shared" si="3"/>
        <v>999999999</v>
      </c>
    </row>
    <row r="207" spans="1:12" ht="15" customHeight="1" x14ac:dyDescent="0.25">
      <c r="A207" s="32" t="s">
        <v>185</v>
      </c>
      <c r="B207" s="32" t="s">
        <v>55</v>
      </c>
      <c r="C207" s="32" t="s">
        <v>154</v>
      </c>
      <c r="D207" s="32">
        <v>500</v>
      </c>
      <c r="E207" s="32">
        <v>1999.99</v>
      </c>
      <c r="F207" s="32" t="s">
        <v>181</v>
      </c>
      <c r="G207" s="32">
        <v>5.8071999999999999</v>
      </c>
      <c r="H207" s="32">
        <v>7.3999999999999996E-2</v>
      </c>
      <c r="I207" s="32" t="s">
        <v>174</v>
      </c>
      <c r="J207" s="32">
        <v>3</v>
      </c>
      <c r="K207" s="32" t="s">
        <v>175</v>
      </c>
      <c r="L207" s="18">
        <f t="shared" si="3"/>
        <v>999999999</v>
      </c>
    </row>
    <row r="208" spans="1:12" ht="15" customHeight="1" x14ac:dyDescent="0.25">
      <c r="A208" s="32" t="s">
        <v>185</v>
      </c>
      <c r="B208" s="32" t="s">
        <v>55</v>
      </c>
      <c r="C208" s="32" t="s">
        <v>154</v>
      </c>
      <c r="D208" s="32">
        <v>2000</v>
      </c>
      <c r="E208" s="32">
        <v>99999.99</v>
      </c>
      <c r="F208" s="32" t="s">
        <v>181</v>
      </c>
      <c r="G208" s="32">
        <v>5.8071999999999999</v>
      </c>
      <c r="H208" s="32">
        <v>7.1999999999999995E-2</v>
      </c>
      <c r="I208" s="32" t="s">
        <v>174</v>
      </c>
      <c r="J208" s="32">
        <v>3</v>
      </c>
      <c r="K208" s="32" t="s">
        <v>175</v>
      </c>
      <c r="L208" s="18">
        <f t="shared" si="3"/>
        <v>999999999</v>
      </c>
    </row>
    <row r="209" spans="1:12" ht="15" customHeight="1" x14ac:dyDescent="0.25">
      <c r="A209" s="32" t="s">
        <v>185</v>
      </c>
      <c r="B209" s="32" t="s">
        <v>55</v>
      </c>
      <c r="C209" s="32" t="s">
        <v>154</v>
      </c>
      <c r="D209" s="32">
        <v>100</v>
      </c>
      <c r="E209" s="32">
        <v>249.99</v>
      </c>
      <c r="F209" s="32" t="s">
        <v>181</v>
      </c>
      <c r="G209" s="32">
        <v>5.8071999999999999</v>
      </c>
      <c r="H209" s="32">
        <v>8.6400000000000005E-2</v>
      </c>
      <c r="I209" s="32" t="s">
        <v>174</v>
      </c>
      <c r="J209" s="32">
        <v>3</v>
      </c>
      <c r="K209" s="32" t="s">
        <v>175</v>
      </c>
      <c r="L209" s="18">
        <f t="shared" si="3"/>
        <v>999999999</v>
      </c>
    </row>
    <row r="210" spans="1:12" ht="15" customHeight="1" x14ac:dyDescent="0.25">
      <c r="A210" s="32" t="s">
        <v>185</v>
      </c>
      <c r="B210" s="32" t="s">
        <v>55</v>
      </c>
      <c r="C210" s="32" t="s">
        <v>154</v>
      </c>
      <c r="D210" s="32">
        <v>0</v>
      </c>
      <c r="E210" s="32">
        <v>99.99</v>
      </c>
      <c r="F210" s="32" t="s">
        <v>181</v>
      </c>
      <c r="G210" s="32">
        <v>5.8071999999999999</v>
      </c>
      <c r="H210" s="32">
        <v>0.13200000000000001</v>
      </c>
      <c r="I210" s="32" t="s">
        <v>174</v>
      </c>
      <c r="J210" s="32">
        <v>3</v>
      </c>
      <c r="K210" s="32" t="s">
        <v>175</v>
      </c>
      <c r="L210" s="18">
        <f t="shared" si="3"/>
        <v>999999999</v>
      </c>
    </row>
    <row r="211" spans="1:12" ht="15" customHeight="1" x14ac:dyDescent="0.25">
      <c r="A211" s="32" t="s">
        <v>180</v>
      </c>
      <c r="B211" s="32" t="s">
        <v>176</v>
      </c>
      <c r="C211" s="32" t="s">
        <v>154</v>
      </c>
      <c r="D211" s="32">
        <v>0</v>
      </c>
      <c r="E211" s="32">
        <v>99.99</v>
      </c>
      <c r="F211" s="32" t="s">
        <v>173</v>
      </c>
      <c r="G211" s="32">
        <v>17.027200000000001</v>
      </c>
      <c r="H211" s="32">
        <v>0.22520000000000001</v>
      </c>
      <c r="I211" s="32" t="s">
        <v>174</v>
      </c>
      <c r="J211" s="32">
        <v>3</v>
      </c>
      <c r="K211" s="32" t="s">
        <v>175</v>
      </c>
      <c r="L211" s="18">
        <f t="shared" si="3"/>
        <v>999999999</v>
      </c>
    </row>
    <row r="212" spans="1:12" ht="15" customHeight="1" x14ac:dyDescent="0.25">
      <c r="A212" s="32" t="s">
        <v>180</v>
      </c>
      <c r="B212" s="32" t="s">
        <v>176</v>
      </c>
      <c r="C212" s="32" t="s">
        <v>154</v>
      </c>
      <c r="D212" s="32">
        <v>250</v>
      </c>
      <c r="E212" s="32">
        <v>499.99</v>
      </c>
      <c r="F212" s="32" t="s">
        <v>173</v>
      </c>
      <c r="G212" s="32">
        <v>17.027200000000001</v>
      </c>
      <c r="H212" s="32">
        <v>0.2132</v>
      </c>
      <c r="I212" s="32" t="s">
        <v>174</v>
      </c>
      <c r="J212" s="32">
        <v>3</v>
      </c>
      <c r="K212" s="32" t="s">
        <v>175</v>
      </c>
      <c r="L212" s="18">
        <f t="shared" si="3"/>
        <v>999999999</v>
      </c>
    </row>
    <row r="213" spans="1:12" ht="15" customHeight="1" x14ac:dyDescent="0.25">
      <c r="A213" s="32" t="s">
        <v>180</v>
      </c>
      <c r="B213" s="32" t="s">
        <v>176</v>
      </c>
      <c r="C213" s="32" t="s">
        <v>154</v>
      </c>
      <c r="D213" s="32">
        <v>500</v>
      </c>
      <c r="E213" s="32">
        <v>1999.99</v>
      </c>
      <c r="F213" s="32" t="s">
        <v>173</v>
      </c>
      <c r="G213" s="32">
        <v>17.027200000000001</v>
      </c>
      <c r="H213" s="32">
        <v>0.19719999999999999</v>
      </c>
      <c r="I213" s="32" t="s">
        <v>174</v>
      </c>
      <c r="J213" s="32">
        <v>3</v>
      </c>
      <c r="K213" s="32" t="s">
        <v>175</v>
      </c>
      <c r="L213" s="18">
        <f t="shared" si="3"/>
        <v>999999999</v>
      </c>
    </row>
    <row r="214" spans="1:12" ht="15" customHeight="1" x14ac:dyDescent="0.25">
      <c r="A214" s="32" t="s">
        <v>180</v>
      </c>
      <c r="B214" s="32" t="s">
        <v>176</v>
      </c>
      <c r="C214" s="32" t="s">
        <v>154</v>
      </c>
      <c r="D214" s="32">
        <v>100</v>
      </c>
      <c r="E214" s="32">
        <v>249.99</v>
      </c>
      <c r="F214" s="32" t="s">
        <v>173</v>
      </c>
      <c r="G214" s="32">
        <v>17.027200000000001</v>
      </c>
      <c r="H214" s="32">
        <v>0.2172</v>
      </c>
      <c r="I214" s="32" t="s">
        <v>174</v>
      </c>
      <c r="J214" s="32">
        <v>3</v>
      </c>
      <c r="K214" s="32" t="s">
        <v>175</v>
      </c>
      <c r="L214" s="18">
        <f t="shared" si="3"/>
        <v>999999999</v>
      </c>
    </row>
    <row r="215" spans="1:12" ht="15" customHeight="1" x14ac:dyDescent="0.25">
      <c r="A215" s="32" t="s">
        <v>180</v>
      </c>
      <c r="B215" s="32" t="s">
        <v>176</v>
      </c>
      <c r="C215" s="32" t="s">
        <v>154</v>
      </c>
      <c r="D215" s="32">
        <v>2000</v>
      </c>
      <c r="E215" s="32">
        <v>99999.99</v>
      </c>
      <c r="F215" s="32" t="s">
        <v>173</v>
      </c>
      <c r="G215" s="32">
        <v>17.027200000000001</v>
      </c>
      <c r="H215" s="32">
        <v>0.1852</v>
      </c>
      <c r="I215" s="32" t="s">
        <v>174</v>
      </c>
      <c r="J215" s="32">
        <v>3</v>
      </c>
      <c r="K215" s="32" t="s">
        <v>175</v>
      </c>
      <c r="L215" s="18">
        <f t="shared" si="3"/>
        <v>999999999</v>
      </c>
    </row>
    <row r="216" spans="1:12" ht="15" customHeight="1" x14ac:dyDescent="0.25">
      <c r="A216" s="32" t="s">
        <v>180</v>
      </c>
      <c r="B216" s="32" t="s">
        <v>176</v>
      </c>
      <c r="C216" s="32" t="s">
        <v>154</v>
      </c>
      <c r="D216" s="32">
        <v>2000</v>
      </c>
      <c r="E216" s="32">
        <v>99999.99</v>
      </c>
      <c r="F216" s="32" t="s">
        <v>181</v>
      </c>
      <c r="G216" s="32">
        <v>15.2272</v>
      </c>
      <c r="H216" s="32">
        <v>0.14760000000000001</v>
      </c>
      <c r="I216" s="32" t="s">
        <v>174</v>
      </c>
      <c r="J216" s="32">
        <v>3</v>
      </c>
      <c r="K216" s="32" t="s">
        <v>175</v>
      </c>
      <c r="L216" s="18">
        <f t="shared" si="3"/>
        <v>999999999</v>
      </c>
    </row>
    <row r="217" spans="1:12" ht="15" customHeight="1" x14ac:dyDescent="0.25">
      <c r="A217" s="32" t="s">
        <v>180</v>
      </c>
      <c r="B217" s="32" t="s">
        <v>176</v>
      </c>
      <c r="C217" s="32" t="s">
        <v>154</v>
      </c>
      <c r="D217" s="32">
        <v>250</v>
      </c>
      <c r="E217" s="32">
        <v>499.99</v>
      </c>
      <c r="F217" s="32" t="s">
        <v>181</v>
      </c>
      <c r="G217" s="32">
        <v>15.2272</v>
      </c>
      <c r="H217" s="32">
        <v>0.1484</v>
      </c>
      <c r="I217" s="32" t="s">
        <v>174</v>
      </c>
      <c r="J217" s="32">
        <v>3</v>
      </c>
      <c r="K217" s="32" t="s">
        <v>175</v>
      </c>
      <c r="L217" s="18">
        <f t="shared" si="3"/>
        <v>999999999</v>
      </c>
    </row>
    <row r="218" spans="1:12" ht="15" customHeight="1" x14ac:dyDescent="0.25">
      <c r="A218" s="32" t="s">
        <v>180</v>
      </c>
      <c r="B218" s="32" t="s">
        <v>176</v>
      </c>
      <c r="C218" s="32" t="s">
        <v>154</v>
      </c>
      <c r="D218" s="32">
        <v>500</v>
      </c>
      <c r="E218" s="32">
        <v>1999.99</v>
      </c>
      <c r="F218" s="32" t="s">
        <v>181</v>
      </c>
      <c r="G218" s="32">
        <v>15.2272</v>
      </c>
      <c r="H218" s="32">
        <v>0.14799999999999999</v>
      </c>
      <c r="I218" s="32" t="s">
        <v>174</v>
      </c>
      <c r="J218" s="32">
        <v>3</v>
      </c>
      <c r="K218" s="32" t="s">
        <v>175</v>
      </c>
      <c r="L218" s="18">
        <f t="shared" si="3"/>
        <v>999999999</v>
      </c>
    </row>
    <row r="219" spans="1:12" ht="15" customHeight="1" x14ac:dyDescent="0.25">
      <c r="A219" s="32" t="s">
        <v>180</v>
      </c>
      <c r="B219" s="32" t="s">
        <v>176</v>
      </c>
      <c r="C219" s="32" t="s">
        <v>154</v>
      </c>
      <c r="D219" s="32">
        <v>0</v>
      </c>
      <c r="E219" s="32">
        <v>99.99</v>
      </c>
      <c r="F219" s="32" t="s">
        <v>181</v>
      </c>
      <c r="G219" s="32">
        <v>15.2272</v>
      </c>
      <c r="H219" s="32">
        <v>0.16120000000000001</v>
      </c>
      <c r="I219" s="32" t="s">
        <v>174</v>
      </c>
      <c r="J219" s="32">
        <v>3</v>
      </c>
      <c r="K219" s="32" t="s">
        <v>175</v>
      </c>
      <c r="L219" s="18">
        <f t="shared" si="3"/>
        <v>999999999</v>
      </c>
    </row>
    <row r="220" spans="1:12" ht="15" customHeight="1" x14ac:dyDescent="0.25">
      <c r="A220" s="32" t="s">
        <v>180</v>
      </c>
      <c r="B220" s="32" t="s">
        <v>176</v>
      </c>
      <c r="C220" s="32" t="s">
        <v>154</v>
      </c>
      <c r="D220" s="32">
        <v>100</v>
      </c>
      <c r="E220" s="32">
        <v>249.99</v>
      </c>
      <c r="F220" s="32" t="s">
        <v>181</v>
      </c>
      <c r="G220" s="32">
        <v>15.2272</v>
      </c>
      <c r="H220" s="32">
        <v>0.14879999999999999</v>
      </c>
      <c r="I220" s="32" t="s">
        <v>174</v>
      </c>
      <c r="J220" s="32">
        <v>3</v>
      </c>
      <c r="K220" s="32" t="s">
        <v>175</v>
      </c>
      <c r="L220" s="18">
        <f t="shared" si="3"/>
        <v>999999999</v>
      </c>
    </row>
    <row r="221" spans="1:12" ht="15" customHeight="1" x14ac:dyDescent="0.25">
      <c r="A221" s="32" t="s">
        <v>182</v>
      </c>
      <c r="B221" s="32" t="s">
        <v>176</v>
      </c>
      <c r="C221" s="32" t="s">
        <v>154</v>
      </c>
      <c r="D221" s="32">
        <v>0.01</v>
      </c>
      <c r="E221" s="32">
        <v>0.5</v>
      </c>
      <c r="F221" s="32" t="s">
        <v>173</v>
      </c>
      <c r="G221" s="32">
        <v>1.5884</v>
      </c>
      <c r="H221" s="32">
        <v>0.58840000000000003</v>
      </c>
      <c r="I221" s="32" t="s">
        <v>174</v>
      </c>
      <c r="J221" s="32">
        <v>3</v>
      </c>
      <c r="K221" s="32" t="s">
        <v>183</v>
      </c>
      <c r="L221" s="18">
        <f t="shared" si="3"/>
        <v>999999999</v>
      </c>
    </row>
    <row r="222" spans="1:12" ht="15" customHeight="1" x14ac:dyDescent="0.25">
      <c r="A222" s="32" t="s">
        <v>182</v>
      </c>
      <c r="B222" s="32" t="s">
        <v>176</v>
      </c>
      <c r="C222" s="32" t="s">
        <v>154</v>
      </c>
      <c r="D222" s="32">
        <v>0.51</v>
      </c>
      <c r="E222" s="32">
        <v>1</v>
      </c>
      <c r="F222" s="32" t="s">
        <v>173</v>
      </c>
      <c r="G222" s="32">
        <v>1.5884</v>
      </c>
      <c r="H222" s="32">
        <v>0.58840000000000003</v>
      </c>
      <c r="I222" s="32" t="s">
        <v>174</v>
      </c>
      <c r="J222" s="32">
        <v>3</v>
      </c>
      <c r="K222" s="32" t="s">
        <v>183</v>
      </c>
      <c r="L222" s="18">
        <f t="shared" si="3"/>
        <v>999999999</v>
      </c>
    </row>
    <row r="223" spans="1:12" ht="15" customHeight="1" x14ac:dyDescent="0.25">
      <c r="A223" s="32" t="s">
        <v>182</v>
      </c>
      <c r="B223" s="32" t="s">
        <v>176</v>
      </c>
      <c r="C223" s="32" t="s">
        <v>154</v>
      </c>
      <c r="D223" s="32">
        <v>1.01</v>
      </c>
      <c r="E223" s="32">
        <v>1.5</v>
      </c>
      <c r="F223" s="32" t="s">
        <v>173</v>
      </c>
      <c r="G223" s="32">
        <v>1.5884</v>
      </c>
      <c r="H223" s="32">
        <v>0.58840000000000003</v>
      </c>
      <c r="I223" s="32" t="s">
        <v>174</v>
      </c>
      <c r="J223" s="32">
        <v>3</v>
      </c>
      <c r="K223" s="32" t="s">
        <v>183</v>
      </c>
      <c r="L223" s="18">
        <f t="shared" si="3"/>
        <v>999999999</v>
      </c>
    </row>
    <row r="224" spans="1:12" ht="15" customHeight="1" x14ac:dyDescent="0.25">
      <c r="A224" s="32" t="s">
        <v>182</v>
      </c>
      <c r="B224" s="32" t="s">
        <v>176</v>
      </c>
      <c r="C224" s="32" t="s">
        <v>154</v>
      </c>
      <c r="D224" s="32">
        <v>1.51</v>
      </c>
      <c r="E224" s="32">
        <v>2</v>
      </c>
      <c r="F224" s="32" t="s">
        <v>173</v>
      </c>
      <c r="G224" s="32">
        <v>1.5884</v>
      </c>
      <c r="H224" s="32">
        <v>0.58840000000000003</v>
      </c>
      <c r="I224" s="32" t="s">
        <v>174</v>
      </c>
      <c r="J224" s="32">
        <v>3</v>
      </c>
      <c r="K224" s="32" t="s">
        <v>183</v>
      </c>
      <c r="L224" s="18">
        <f t="shared" si="3"/>
        <v>999999999</v>
      </c>
    </row>
    <row r="225" spans="1:12" ht="15" customHeight="1" x14ac:dyDescent="0.25">
      <c r="A225" s="32" t="s">
        <v>182</v>
      </c>
      <c r="B225" s="32" t="s">
        <v>176</v>
      </c>
      <c r="C225" s="32" t="s">
        <v>154</v>
      </c>
      <c r="D225" s="32">
        <v>2.0099999999999998</v>
      </c>
      <c r="E225" s="32">
        <v>2.5</v>
      </c>
      <c r="F225" s="32" t="s">
        <v>173</v>
      </c>
      <c r="G225" s="32">
        <v>1.5884</v>
      </c>
      <c r="H225" s="32">
        <v>0.58840000000000003</v>
      </c>
      <c r="I225" s="32" t="s">
        <v>174</v>
      </c>
      <c r="J225" s="32">
        <v>3</v>
      </c>
      <c r="K225" s="32" t="s">
        <v>183</v>
      </c>
      <c r="L225" s="18">
        <f t="shared" si="3"/>
        <v>999999999</v>
      </c>
    </row>
    <row r="226" spans="1:12" ht="15" customHeight="1" x14ac:dyDescent="0.25">
      <c r="A226" s="32" t="s">
        <v>182</v>
      </c>
      <c r="B226" s="32" t="s">
        <v>176</v>
      </c>
      <c r="C226" s="32" t="s">
        <v>154</v>
      </c>
      <c r="D226" s="32">
        <v>70.510000000000005</v>
      </c>
      <c r="E226" s="32">
        <v>99.99</v>
      </c>
      <c r="F226" s="32" t="s">
        <v>173</v>
      </c>
      <c r="G226" s="32">
        <v>11.48</v>
      </c>
      <c r="H226" s="32">
        <v>0.104</v>
      </c>
      <c r="I226" s="32" t="s">
        <v>174</v>
      </c>
      <c r="J226" s="32">
        <v>3</v>
      </c>
      <c r="K226" s="32" t="s">
        <v>183</v>
      </c>
      <c r="L226" s="18">
        <f t="shared" si="3"/>
        <v>999999999</v>
      </c>
    </row>
    <row r="227" spans="1:12" ht="15" customHeight="1" x14ac:dyDescent="0.25">
      <c r="A227" s="32" t="s">
        <v>182</v>
      </c>
      <c r="B227" s="32" t="s">
        <v>176</v>
      </c>
      <c r="C227" s="32" t="s">
        <v>154</v>
      </c>
      <c r="D227" s="32">
        <v>100</v>
      </c>
      <c r="E227" s="32">
        <v>455.99</v>
      </c>
      <c r="F227" s="32" t="s">
        <v>173</v>
      </c>
      <c r="G227" s="32">
        <v>13.9872</v>
      </c>
      <c r="H227" s="32">
        <v>9.6799999999999997E-2</v>
      </c>
      <c r="I227" s="32" t="s">
        <v>174</v>
      </c>
      <c r="J227" s="32">
        <v>3</v>
      </c>
      <c r="K227" s="32" t="s">
        <v>183</v>
      </c>
      <c r="L227" s="18">
        <f t="shared" si="3"/>
        <v>999999999</v>
      </c>
    </row>
    <row r="228" spans="1:12" ht="15" customHeight="1" x14ac:dyDescent="0.25">
      <c r="A228" s="32" t="s">
        <v>182</v>
      </c>
      <c r="B228" s="32" t="s">
        <v>176</v>
      </c>
      <c r="C228" s="32" t="s">
        <v>154</v>
      </c>
      <c r="D228" s="32">
        <v>456</v>
      </c>
      <c r="E228" s="32">
        <v>99999.99</v>
      </c>
      <c r="F228" s="32" t="s">
        <v>173</v>
      </c>
      <c r="G228" s="32">
        <v>65.311999999999998</v>
      </c>
      <c r="H228" s="32">
        <v>9.8000000000000004E-2</v>
      </c>
      <c r="I228" s="32" t="s">
        <v>174</v>
      </c>
      <c r="J228" s="32">
        <v>3</v>
      </c>
      <c r="K228" s="32" t="s">
        <v>183</v>
      </c>
      <c r="L228" s="18">
        <f t="shared" si="3"/>
        <v>999999999</v>
      </c>
    </row>
    <row r="229" spans="1:12" ht="15" customHeight="1" x14ac:dyDescent="0.25">
      <c r="A229" s="32" t="s">
        <v>182</v>
      </c>
      <c r="B229" s="32" t="s">
        <v>176</v>
      </c>
      <c r="C229" s="32" t="s">
        <v>154</v>
      </c>
      <c r="D229" s="32">
        <v>0.01</v>
      </c>
      <c r="E229" s="32">
        <v>0.5</v>
      </c>
      <c r="F229" s="32" t="s">
        <v>173</v>
      </c>
      <c r="G229" s="32">
        <v>1.6728000000000001</v>
      </c>
      <c r="H229" s="32">
        <v>0.67279999999999995</v>
      </c>
      <c r="I229" s="32" t="s">
        <v>174</v>
      </c>
      <c r="J229" s="32">
        <v>3</v>
      </c>
      <c r="K229" s="32" t="s">
        <v>183</v>
      </c>
      <c r="L229" s="18">
        <f t="shared" si="3"/>
        <v>999999999</v>
      </c>
    </row>
    <row r="230" spans="1:12" ht="15" customHeight="1" x14ac:dyDescent="0.25">
      <c r="A230" s="32" t="s">
        <v>182</v>
      </c>
      <c r="B230" s="32" t="s">
        <v>176</v>
      </c>
      <c r="C230" s="32" t="s">
        <v>154</v>
      </c>
      <c r="D230" s="32">
        <v>0.51</v>
      </c>
      <c r="E230" s="32">
        <v>1</v>
      </c>
      <c r="F230" s="32" t="s">
        <v>173</v>
      </c>
      <c r="G230" s="32">
        <v>1.6728000000000001</v>
      </c>
      <c r="H230" s="32">
        <v>0.67279999999999995</v>
      </c>
      <c r="I230" s="32" t="s">
        <v>174</v>
      </c>
      <c r="J230" s="32">
        <v>3</v>
      </c>
      <c r="K230" s="32" t="s">
        <v>183</v>
      </c>
      <c r="L230" s="18">
        <f t="shared" si="3"/>
        <v>999999999</v>
      </c>
    </row>
    <row r="231" spans="1:12" ht="15" customHeight="1" x14ac:dyDescent="0.25">
      <c r="A231" s="32" t="s">
        <v>182</v>
      </c>
      <c r="B231" s="32" t="s">
        <v>176</v>
      </c>
      <c r="C231" s="32" t="s">
        <v>154</v>
      </c>
      <c r="D231" s="32">
        <v>1.01</v>
      </c>
      <c r="E231" s="32">
        <v>1.5</v>
      </c>
      <c r="F231" s="32" t="s">
        <v>173</v>
      </c>
      <c r="G231" s="32">
        <v>1.6728000000000001</v>
      </c>
      <c r="H231" s="32">
        <v>0.67279999999999995</v>
      </c>
      <c r="I231" s="32" t="s">
        <v>174</v>
      </c>
      <c r="J231" s="32">
        <v>3</v>
      </c>
      <c r="K231" s="32" t="s">
        <v>183</v>
      </c>
      <c r="L231" s="18">
        <f t="shared" si="3"/>
        <v>999999999</v>
      </c>
    </row>
    <row r="232" spans="1:12" ht="15" customHeight="1" x14ac:dyDescent="0.25">
      <c r="A232" s="32" t="s">
        <v>182</v>
      </c>
      <c r="B232" s="32" t="s">
        <v>176</v>
      </c>
      <c r="C232" s="32" t="s">
        <v>154</v>
      </c>
      <c r="D232" s="32">
        <v>1.51</v>
      </c>
      <c r="E232" s="32">
        <v>2</v>
      </c>
      <c r="F232" s="32" t="s">
        <v>173</v>
      </c>
      <c r="G232" s="32">
        <v>1.6728000000000001</v>
      </c>
      <c r="H232" s="32">
        <v>0.67279999999999995</v>
      </c>
      <c r="I232" s="32" t="s">
        <v>174</v>
      </c>
      <c r="J232" s="32">
        <v>3</v>
      </c>
      <c r="K232" s="32" t="s">
        <v>183</v>
      </c>
      <c r="L232" s="18">
        <f t="shared" si="3"/>
        <v>999999999</v>
      </c>
    </row>
    <row r="233" spans="1:12" ht="15" customHeight="1" x14ac:dyDescent="0.25">
      <c r="A233" s="32" t="s">
        <v>182</v>
      </c>
      <c r="B233" s="32" t="s">
        <v>176</v>
      </c>
      <c r="C233" s="32" t="s">
        <v>154</v>
      </c>
      <c r="D233" s="32">
        <v>2.0099999999999998</v>
      </c>
      <c r="E233" s="32">
        <v>2.5</v>
      </c>
      <c r="F233" s="32" t="s">
        <v>173</v>
      </c>
      <c r="G233" s="32">
        <v>1.6728000000000001</v>
      </c>
      <c r="H233" s="32">
        <v>0.67279999999999995</v>
      </c>
      <c r="I233" s="32" t="s">
        <v>174</v>
      </c>
      <c r="J233" s="32">
        <v>3</v>
      </c>
      <c r="K233" s="32" t="s">
        <v>183</v>
      </c>
      <c r="L233" s="18">
        <f t="shared" si="3"/>
        <v>999999999</v>
      </c>
    </row>
    <row r="234" spans="1:12" ht="15" customHeight="1" x14ac:dyDescent="0.25">
      <c r="A234" s="32" t="s">
        <v>182</v>
      </c>
      <c r="B234" s="32" t="s">
        <v>176</v>
      </c>
      <c r="C234" s="32" t="s">
        <v>154</v>
      </c>
      <c r="D234" s="32">
        <v>70.510000000000005</v>
      </c>
      <c r="E234" s="32">
        <v>99.99</v>
      </c>
      <c r="F234" s="32" t="s">
        <v>173</v>
      </c>
      <c r="G234" s="32">
        <v>11.451599999999999</v>
      </c>
      <c r="H234" s="32">
        <v>0.1036</v>
      </c>
      <c r="I234" s="32" t="s">
        <v>174</v>
      </c>
      <c r="J234" s="32">
        <v>3</v>
      </c>
      <c r="K234" s="32" t="s">
        <v>183</v>
      </c>
      <c r="L234" s="18">
        <f t="shared" si="3"/>
        <v>999999999</v>
      </c>
    </row>
    <row r="235" spans="1:12" ht="15" customHeight="1" x14ac:dyDescent="0.25">
      <c r="A235" s="32" t="s">
        <v>182</v>
      </c>
      <c r="B235" s="32" t="s">
        <v>176</v>
      </c>
      <c r="C235" s="32" t="s">
        <v>154</v>
      </c>
      <c r="D235" s="32">
        <v>100</v>
      </c>
      <c r="E235" s="32">
        <v>455.99</v>
      </c>
      <c r="F235" s="32" t="s">
        <v>173</v>
      </c>
      <c r="G235" s="32">
        <v>13.9472</v>
      </c>
      <c r="H235" s="32">
        <v>9.64E-2</v>
      </c>
      <c r="I235" s="32" t="s">
        <v>174</v>
      </c>
      <c r="J235" s="32">
        <v>3</v>
      </c>
      <c r="K235" s="32" t="s">
        <v>183</v>
      </c>
      <c r="L235" s="18">
        <f t="shared" si="3"/>
        <v>999999999</v>
      </c>
    </row>
    <row r="236" spans="1:12" ht="15" customHeight="1" x14ac:dyDescent="0.25">
      <c r="A236" s="32" t="s">
        <v>182</v>
      </c>
      <c r="B236" s="32" t="s">
        <v>176</v>
      </c>
      <c r="C236" s="32" t="s">
        <v>154</v>
      </c>
      <c r="D236" s="32">
        <v>456</v>
      </c>
      <c r="E236" s="32">
        <v>99999.99</v>
      </c>
      <c r="F236" s="32" t="s">
        <v>173</v>
      </c>
      <c r="G236" s="32">
        <v>65.129599999999996</v>
      </c>
      <c r="H236" s="32">
        <v>9.7600000000000006E-2</v>
      </c>
      <c r="I236" s="32" t="s">
        <v>174</v>
      </c>
      <c r="J236" s="32">
        <v>3</v>
      </c>
      <c r="K236" s="32" t="s">
        <v>183</v>
      </c>
      <c r="L236" s="18">
        <f t="shared" si="3"/>
        <v>999999999</v>
      </c>
    </row>
    <row r="237" spans="1:12" ht="15" customHeight="1" x14ac:dyDescent="0.25">
      <c r="A237" s="32" t="s">
        <v>186</v>
      </c>
      <c r="B237" s="32" t="s">
        <v>176</v>
      </c>
      <c r="C237" s="32" t="s">
        <v>154</v>
      </c>
      <c r="D237" s="32">
        <v>0</v>
      </c>
      <c r="E237" s="32">
        <v>0.453592</v>
      </c>
      <c r="F237" s="32" t="s">
        <v>173</v>
      </c>
      <c r="G237" s="32">
        <v>1.4024000000000001</v>
      </c>
      <c r="H237" s="32">
        <v>0.85437508245295302</v>
      </c>
      <c r="I237" s="32" t="s">
        <v>174</v>
      </c>
      <c r="J237" s="32">
        <v>3</v>
      </c>
      <c r="K237" s="32" t="s">
        <v>183</v>
      </c>
      <c r="L237" s="18">
        <f t="shared" si="3"/>
        <v>999999999</v>
      </c>
    </row>
    <row r="238" spans="1:12" ht="15" customHeight="1" x14ac:dyDescent="0.25">
      <c r="A238" s="32" t="s">
        <v>186</v>
      </c>
      <c r="B238" s="32" t="s">
        <v>176</v>
      </c>
      <c r="C238" s="32" t="s">
        <v>154</v>
      </c>
      <c r="D238" s="32">
        <v>0.45812792000000002</v>
      </c>
      <c r="E238" s="32">
        <v>0.90718399999999999</v>
      </c>
      <c r="F238" s="32" t="s">
        <v>173</v>
      </c>
      <c r="G238" s="32">
        <v>1.4496</v>
      </c>
      <c r="H238" s="32">
        <v>0.95843335508562799</v>
      </c>
      <c r="I238" s="32" t="s">
        <v>174</v>
      </c>
      <c r="J238" s="32">
        <v>3</v>
      </c>
      <c r="K238" s="32" t="s">
        <v>183</v>
      </c>
      <c r="L238" s="18">
        <f t="shared" si="3"/>
        <v>999999999</v>
      </c>
    </row>
    <row r="239" spans="1:12" ht="15" customHeight="1" x14ac:dyDescent="0.25">
      <c r="A239" s="32" t="s">
        <v>186</v>
      </c>
      <c r="B239" s="32" t="s">
        <v>176</v>
      </c>
      <c r="C239" s="32" t="s">
        <v>154</v>
      </c>
      <c r="D239" s="32">
        <v>0.91171992000000002</v>
      </c>
      <c r="E239" s="32">
        <v>1.360776</v>
      </c>
      <c r="F239" s="32" t="s">
        <v>173</v>
      </c>
      <c r="G239" s="32">
        <v>1.5431999999999999</v>
      </c>
      <c r="H239" s="32">
        <v>1.16478620081483</v>
      </c>
      <c r="I239" s="32" t="s">
        <v>174</v>
      </c>
      <c r="J239" s="32">
        <v>3</v>
      </c>
      <c r="K239" s="32" t="s">
        <v>183</v>
      </c>
      <c r="L239" s="18">
        <f t="shared" si="3"/>
        <v>999999999</v>
      </c>
    </row>
    <row r="240" spans="1:12" ht="15" customHeight="1" x14ac:dyDescent="0.25">
      <c r="A240" s="32" t="s">
        <v>186</v>
      </c>
      <c r="B240" s="32" t="s">
        <v>176</v>
      </c>
      <c r="C240" s="32" t="s">
        <v>154</v>
      </c>
      <c r="D240" s="32">
        <v>1.3653119199999999</v>
      </c>
      <c r="E240" s="32">
        <v>1.814368</v>
      </c>
      <c r="F240" s="32" t="s">
        <v>173</v>
      </c>
      <c r="G240" s="32">
        <v>1.6164000000000001</v>
      </c>
      <c r="H240" s="32">
        <v>1.3261647083722801</v>
      </c>
      <c r="I240" s="32" t="s">
        <v>174</v>
      </c>
      <c r="J240" s="32">
        <v>3</v>
      </c>
      <c r="K240" s="32" t="s">
        <v>183</v>
      </c>
      <c r="L240" s="18">
        <f t="shared" si="3"/>
        <v>999999999</v>
      </c>
    </row>
    <row r="241" spans="1:12" ht="15" customHeight="1" x14ac:dyDescent="0.25">
      <c r="A241" s="32" t="s">
        <v>186</v>
      </c>
      <c r="B241" s="32" t="s">
        <v>176</v>
      </c>
      <c r="C241" s="32" t="s">
        <v>154</v>
      </c>
      <c r="D241" s="32">
        <v>1.8189039199999999</v>
      </c>
      <c r="E241" s="32">
        <v>2.26796</v>
      </c>
      <c r="F241" s="32" t="s">
        <v>173</v>
      </c>
      <c r="G241" s="32">
        <v>1.6819999999999999</v>
      </c>
      <c r="H241" s="32">
        <v>1.4707880703363401</v>
      </c>
      <c r="I241" s="32" t="s">
        <v>174</v>
      </c>
      <c r="J241" s="32">
        <v>3</v>
      </c>
      <c r="K241" s="32" t="s">
        <v>183</v>
      </c>
      <c r="L241" s="18">
        <f t="shared" si="3"/>
        <v>999999999</v>
      </c>
    </row>
    <row r="242" spans="1:12" ht="15" customHeight="1" x14ac:dyDescent="0.25">
      <c r="A242" s="32" t="s">
        <v>186</v>
      </c>
      <c r="B242" s="32" t="s">
        <v>176</v>
      </c>
      <c r="C242" s="32" t="s">
        <v>154</v>
      </c>
      <c r="D242" s="32">
        <v>2.2724959199999999</v>
      </c>
      <c r="E242" s="32">
        <v>2.721552</v>
      </c>
      <c r="F242" s="32" t="s">
        <v>173</v>
      </c>
      <c r="G242" s="32">
        <v>1.7192000000000001</v>
      </c>
      <c r="H242" s="32">
        <v>1.55280009876717</v>
      </c>
      <c r="I242" s="32" t="s">
        <v>174</v>
      </c>
      <c r="J242" s="32">
        <v>3</v>
      </c>
      <c r="K242" s="32" t="s">
        <v>183</v>
      </c>
      <c r="L242" s="18">
        <f t="shared" si="3"/>
        <v>999999999</v>
      </c>
    </row>
    <row r="243" spans="1:12" ht="15" customHeight="1" x14ac:dyDescent="0.25">
      <c r="A243" s="32" t="s">
        <v>186</v>
      </c>
      <c r="B243" s="32" t="s">
        <v>176</v>
      </c>
      <c r="C243" s="32" t="s">
        <v>154</v>
      </c>
      <c r="D243" s="32">
        <v>2.7260879199999999</v>
      </c>
      <c r="E243" s="32">
        <v>3.175144</v>
      </c>
      <c r="F243" s="32" t="s">
        <v>173</v>
      </c>
      <c r="G243" s="32">
        <v>1.7592000000000001</v>
      </c>
      <c r="H243" s="32">
        <v>1.6409850755745199</v>
      </c>
      <c r="I243" s="32" t="s">
        <v>174</v>
      </c>
      <c r="J243" s="32">
        <v>3</v>
      </c>
      <c r="K243" s="32" t="s">
        <v>183</v>
      </c>
      <c r="L243" s="18">
        <f t="shared" si="3"/>
        <v>999999999</v>
      </c>
    </row>
    <row r="244" spans="1:12" ht="15" customHeight="1" x14ac:dyDescent="0.25">
      <c r="A244" s="32" t="s">
        <v>186</v>
      </c>
      <c r="B244" s="32" t="s">
        <v>176</v>
      </c>
      <c r="C244" s="32" t="s">
        <v>154</v>
      </c>
      <c r="D244" s="32">
        <v>3.1796799199999999</v>
      </c>
      <c r="E244" s="32">
        <v>3.628736</v>
      </c>
      <c r="F244" s="32" t="s">
        <v>173</v>
      </c>
      <c r="G244" s="32">
        <v>1.81</v>
      </c>
      <c r="H244" s="32">
        <v>1.75297999611986</v>
      </c>
      <c r="I244" s="32" t="s">
        <v>174</v>
      </c>
      <c r="J244" s="32">
        <v>3</v>
      </c>
      <c r="K244" s="32" t="s">
        <v>183</v>
      </c>
      <c r="L244" s="18">
        <f t="shared" si="3"/>
        <v>999999999</v>
      </c>
    </row>
    <row r="245" spans="1:12" ht="15" customHeight="1" x14ac:dyDescent="0.25">
      <c r="A245" s="32" t="s">
        <v>186</v>
      </c>
      <c r="B245" s="32" t="s">
        <v>176</v>
      </c>
      <c r="C245" s="32" t="s">
        <v>154</v>
      </c>
      <c r="D245" s="32">
        <v>3.6332719199999999</v>
      </c>
      <c r="E245" s="32">
        <v>4.0823280000000004</v>
      </c>
      <c r="F245" s="32" t="s">
        <v>173</v>
      </c>
      <c r="G245" s="32">
        <v>1.8532</v>
      </c>
      <c r="H245" s="32">
        <v>1.8482197710718</v>
      </c>
      <c r="I245" s="32" t="s">
        <v>174</v>
      </c>
      <c r="J245" s="32">
        <v>3</v>
      </c>
      <c r="K245" s="32" t="s">
        <v>183</v>
      </c>
      <c r="L245" s="18">
        <f t="shared" si="3"/>
        <v>999999999</v>
      </c>
    </row>
    <row r="246" spans="1:12" ht="15" customHeight="1" x14ac:dyDescent="0.25">
      <c r="A246" s="32" t="s">
        <v>186</v>
      </c>
      <c r="B246" s="32" t="s">
        <v>176</v>
      </c>
      <c r="C246" s="32" t="s">
        <v>154</v>
      </c>
      <c r="D246" s="32">
        <v>4.0868639199999999</v>
      </c>
      <c r="E246" s="32">
        <v>4.53592</v>
      </c>
      <c r="F246" s="32" t="s">
        <v>173</v>
      </c>
      <c r="G246" s="32">
        <v>1.8895999999999999</v>
      </c>
      <c r="H246" s="32">
        <v>1.92846809996649</v>
      </c>
      <c r="I246" s="32" t="s">
        <v>174</v>
      </c>
      <c r="J246" s="32">
        <v>3</v>
      </c>
      <c r="K246" s="32" t="s">
        <v>183</v>
      </c>
      <c r="L246" s="18">
        <f t="shared" si="3"/>
        <v>999999999</v>
      </c>
    </row>
    <row r="247" spans="1:12" ht="15" customHeight="1" x14ac:dyDescent="0.25">
      <c r="A247" s="32" t="s">
        <v>186</v>
      </c>
      <c r="B247" s="32" t="s">
        <v>176</v>
      </c>
      <c r="C247" s="32" t="s">
        <v>154</v>
      </c>
      <c r="D247" s="32">
        <v>4.5404559200000003</v>
      </c>
      <c r="E247" s="32">
        <v>4.9895120000000004</v>
      </c>
      <c r="F247" s="32" t="s">
        <v>173</v>
      </c>
      <c r="G247" s="32">
        <v>1.9356</v>
      </c>
      <c r="H247" s="32">
        <v>3.0298808232949401</v>
      </c>
      <c r="I247" s="32" t="s">
        <v>174</v>
      </c>
      <c r="J247" s="32">
        <v>3</v>
      </c>
      <c r="K247" s="32" t="s">
        <v>183</v>
      </c>
      <c r="L247" s="18">
        <f t="shared" si="3"/>
        <v>999999999</v>
      </c>
    </row>
    <row r="248" spans="1:12" ht="15" customHeight="1" x14ac:dyDescent="0.25">
      <c r="A248" s="32" t="s">
        <v>186</v>
      </c>
      <c r="B248" s="32" t="s">
        <v>176</v>
      </c>
      <c r="C248" s="32" t="s">
        <v>154</v>
      </c>
      <c r="D248" s="32">
        <v>4.9940479199999999</v>
      </c>
      <c r="E248" s="32">
        <v>5.4431039999999999</v>
      </c>
      <c r="F248" s="32" t="s">
        <v>173</v>
      </c>
      <c r="G248" s="32">
        <v>1.9816</v>
      </c>
      <c r="H248" s="32">
        <v>3.1312935466234002</v>
      </c>
      <c r="I248" s="32" t="s">
        <v>174</v>
      </c>
      <c r="J248" s="32">
        <v>3</v>
      </c>
      <c r="K248" s="32" t="s">
        <v>183</v>
      </c>
      <c r="L248" s="18">
        <f t="shared" si="3"/>
        <v>999999999</v>
      </c>
    </row>
    <row r="249" spans="1:12" ht="15" customHeight="1" x14ac:dyDescent="0.25">
      <c r="A249" s="32" t="s">
        <v>186</v>
      </c>
      <c r="B249" s="32" t="s">
        <v>176</v>
      </c>
      <c r="C249" s="32" t="s">
        <v>154</v>
      </c>
      <c r="D249" s="32">
        <v>5.4476399200000003</v>
      </c>
      <c r="E249" s="32">
        <v>5.8966960000000004</v>
      </c>
      <c r="F249" s="32" t="s">
        <v>173</v>
      </c>
      <c r="G249" s="32">
        <v>3.0276000000000001</v>
      </c>
      <c r="H249" s="32">
        <v>2.2327062699518501</v>
      </c>
      <c r="I249" s="32" t="s">
        <v>174</v>
      </c>
      <c r="J249" s="32">
        <v>3</v>
      </c>
      <c r="K249" s="32" t="s">
        <v>183</v>
      </c>
      <c r="L249" s="18">
        <f t="shared" si="3"/>
        <v>999999999</v>
      </c>
    </row>
    <row r="250" spans="1:12" ht="15" customHeight="1" x14ac:dyDescent="0.25">
      <c r="A250" s="32" t="s">
        <v>186</v>
      </c>
      <c r="B250" s="32" t="s">
        <v>176</v>
      </c>
      <c r="C250" s="32" t="s">
        <v>154</v>
      </c>
      <c r="D250" s="32">
        <v>5.9012319199999999</v>
      </c>
      <c r="E250" s="32">
        <v>6.3502879999999999</v>
      </c>
      <c r="F250" s="32" t="s">
        <v>173</v>
      </c>
      <c r="G250" s="32">
        <v>3.0735999999999999</v>
      </c>
      <c r="H250" s="32">
        <v>2.3341189932802999</v>
      </c>
      <c r="I250" s="32" t="s">
        <v>174</v>
      </c>
      <c r="J250" s="32">
        <v>3</v>
      </c>
      <c r="K250" s="32" t="s">
        <v>183</v>
      </c>
      <c r="L250" s="18">
        <f t="shared" si="3"/>
        <v>999999999</v>
      </c>
    </row>
    <row r="251" spans="1:12" ht="15" customHeight="1" x14ac:dyDescent="0.25">
      <c r="A251" s="32" t="s">
        <v>186</v>
      </c>
      <c r="B251" s="32" t="s">
        <v>176</v>
      </c>
      <c r="C251" s="32" t="s">
        <v>154</v>
      </c>
      <c r="D251" s="32">
        <v>6.3548239200000003</v>
      </c>
      <c r="E251" s="32">
        <v>6.8038800000000004</v>
      </c>
      <c r="F251" s="32" t="s">
        <v>173</v>
      </c>
      <c r="G251" s="32">
        <v>3.1196000000000002</v>
      </c>
      <c r="H251" s="32">
        <v>1.43553171660876</v>
      </c>
      <c r="I251" s="32" t="s">
        <v>174</v>
      </c>
      <c r="J251" s="32">
        <v>3</v>
      </c>
      <c r="K251" s="32" t="s">
        <v>183</v>
      </c>
      <c r="L251" s="18">
        <f t="shared" si="3"/>
        <v>999999999</v>
      </c>
    </row>
    <row r="252" spans="1:12" ht="15" customHeight="1" x14ac:dyDescent="0.25">
      <c r="A252" s="32" t="s">
        <v>186</v>
      </c>
      <c r="B252" s="32" t="s">
        <v>176</v>
      </c>
      <c r="C252" s="32" t="s">
        <v>154</v>
      </c>
      <c r="D252" s="32">
        <v>6.8084159199999998</v>
      </c>
      <c r="E252" s="32">
        <v>7.2574719999999999</v>
      </c>
      <c r="F252" s="32" t="s">
        <v>173</v>
      </c>
      <c r="G252" s="32">
        <v>3.1656</v>
      </c>
      <c r="H252" s="32">
        <v>1.5369444399372101</v>
      </c>
      <c r="I252" s="32" t="s">
        <v>174</v>
      </c>
      <c r="J252" s="32">
        <v>3</v>
      </c>
      <c r="K252" s="32" t="s">
        <v>183</v>
      </c>
      <c r="L252" s="18">
        <f t="shared" si="3"/>
        <v>999999999</v>
      </c>
    </row>
    <row r="253" spans="1:12" ht="15" customHeight="1" x14ac:dyDescent="0.25">
      <c r="A253" s="32" t="s">
        <v>186</v>
      </c>
      <c r="B253" s="32" t="s">
        <v>176</v>
      </c>
      <c r="C253" s="32" t="s">
        <v>154</v>
      </c>
      <c r="D253" s="32">
        <v>7.2620079200000003</v>
      </c>
      <c r="E253" s="32">
        <v>7.7110640000000004</v>
      </c>
      <c r="F253" s="32" t="s">
        <v>173</v>
      </c>
      <c r="G253" s="32">
        <v>3.2115999999999998</v>
      </c>
      <c r="H253" s="32">
        <v>2.6383571632656699</v>
      </c>
      <c r="I253" s="32" t="s">
        <v>174</v>
      </c>
      <c r="J253" s="32">
        <v>3</v>
      </c>
      <c r="K253" s="32" t="s">
        <v>183</v>
      </c>
      <c r="L253" s="18">
        <f t="shared" si="3"/>
        <v>999999999</v>
      </c>
    </row>
    <row r="254" spans="1:12" ht="15" customHeight="1" x14ac:dyDescent="0.25">
      <c r="A254" s="32" t="s">
        <v>186</v>
      </c>
      <c r="B254" s="32" t="s">
        <v>176</v>
      </c>
      <c r="C254" s="32" t="s">
        <v>154</v>
      </c>
      <c r="D254" s="32">
        <v>7.7155999199999998</v>
      </c>
      <c r="E254" s="32">
        <v>8.1646560000000008</v>
      </c>
      <c r="F254" s="32" t="s">
        <v>173</v>
      </c>
      <c r="G254" s="32">
        <v>3.2576000000000001</v>
      </c>
      <c r="H254" s="32">
        <v>3.7397698865941198</v>
      </c>
      <c r="I254" s="32" t="s">
        <v>174</v>
      </c>
      <c r="J254" s="32">
        <v>3</v>
      </c>
      <c r="K254" s="32" t="s">
        <v>183</v>
      </c>
      <c r="L254" s="18">
        <f t="shared" si="3"/>
        <v>999999999</v>
      </c>
    </row>
    <row r="255" spans="1:12" ht="15" customHeight="1" x14ac:dyDescent="0.25">
      <c r="A255" s="32" t="s">
        <v>186</v>
      </c>
      <c r="B255" s="32" t="s">
        <v>176</v>
      </c>
      <c r="C255" s="32" t="s">
        <v>154</v>
      </c>
      <c r="D255" s="32">
        <v>8.1691919199999994</v>
      </c>
      <c r="E255" s="32">
        <v>8.6182479999999995</v>
      </c>
      <c r="F255" s="32" t="s">
        <v>173</v>
      </c>
      <c r="G255" s="32">
        <v>3.3035999999999999</v>
      </c>
      <c r="H255" s="32">
        <v>3.8411826099225701</v>
      </c>
      <c r="I255" s="32" t="s">
        <v>174</v>
      </c>
      <c r="J255" s="32">
        <v>3</v>
      </c>
      <c r="K255" s="32" t="s">
        <v>183</v>
      </c>
      <c r="L255" s="18">
        <f t="shared" si="3"/>
        <v>999999999</v>
      </c>
    </row>
    <row r="256" spans="1:12" ht="15" customHeight="1" x14ac:dyDescent="0.25">
      <c r="A256" s="32" t="s">
        <v>186</v>
      </c>
      <c r="B256" s="32" t="s">
        <v>176</v>
      </c>
      <c r="C256" s="32" t="s">
        <v>154</v>
      </c>
      <c r="D256" s="32">
        <v>8.6227839199999998</v>
      </c>
      <c r="E256" s="32">
        <v>9.0718399999999999</v>
      </c>
      <c r="F256" s="32" t="s">
        <v>173</v>
      </c>
      <c r="G256" s="32">
        <v>3.3496000000000001</v>
      </c>
      <c r="H256" s="32">
        <v>2.9425953332510302</v>
      </c>
      <c r="I256" s="32" t="s">
        <v>174</v>
      </c>
      <c r="J256" s="32">
        <v>3</v>
      </c>
      <c r="K256" s="32" t="s">
        <v>183</v>
      </c>
      <c r="L256" s="18">
        <f t="shared" si="3"/>
        <v>999999999</v>
      </c>
    </row>
    <row r="257" spans="1:12" ht="15" customHeight="1" x14ac:dyDescent="0.25">
      <c r="A257" s="32" t="s">
        <v>186</v>
      </c>
      <c r="B257" s="32" t="s">
        <v>176</v>
      </c>
      <c r="C257" s="32" t="s">
        <v>154</v>
      </c>
      <c r="D257" s="32">
        <v>9.0763759200000003</v>
      </c>
      <c r="E257" s="32">
        <v>9.5254320000000003</v>
      </c>
      <c r="F257" s="32" t="s">
        <v>173</v>
      </c>
      <c r="G257" s="32">
        <v>3.3856000000000002</v>
      </c>
      <c r="H257" s="32">
        <v>3.0219618123776399</v>
      </c>
      <c r="I257" s="32" t="s">
        <v>174</v>
      </c>
      <c r="J257" s="32">
        <v>3</v>
      </c>
      <c r="K257" s="32" t="s">
        <v>183</v>
      </c>
      <c r="L257" s="18">
        <f t="shared" si="3"/>
        <v>999999999</v>
      </c>
    </row>
    <row r="258" spans="1:12" ht="15" customHeight="1" x14ac:dyDescent="0.25">
      <c r="A258" s="32" t="s">
        <v>186</v>
      </c>
      <c r="B258" s="32" t="s">
        <v>176</v>
      </c>
      <c r="C258" s="32" t="s">
        <v>154</v>
      </c>
      <c r="D258" s="32">
        <v>9.5299679200000007</v>
      </c>
      <c r="E258" s="32">
        <v>9.9790240000000008</v>
      </c>
      <c r="F258" s="32" t="s">
        <v>173</v>
      </c>
      <c r="G258" s="32">
        <v>3.4216000000000002</v>
      </c>
      <c r="H258" s="32">
        <v>4.1013282915042604</v>
      </c>
      <c r="I258" s="32" t="s">
        <v>174</v>
      </c>
      <c r="J258" s="32">
        <v>3</v>
      </c>
      <c r="K258" s="32" t="s">
        <v>183</v>
      </c>
      <c r="L258" s="18">
        <f t="shared" ref="L258:L321" si="4">IF(AND(B258=Quote_Port,D258&lt;=Quote_Weight,Quote_Weight&lt;=E258,OR(Quote_2Day="No",J258&lt;=2)),MAX(G258,Quote_Weight*H258)*Quote_USDINR,999999999)</f>
        <v>999999999</v>
      </c>
    </row>
    <row r="259" spans="1:12" ht="15" customHeight="1" x14ac:dyDescent="0.25">
      <c r="A259" s="32" t="s">
        <v>186</v>
      </c>
      <c r="B259" s="32" t="s">
        <v>176</v>
      </c>
      <c r="C259" s="32" t="s">
        <v>154</v>
      </c>
      <c r="D259" s="32">
        <v>9.9835599199999994</v>
      </c>
      <c r="E259" s="32">
        <v>10.432615999999999</v>
      </c>
      <c r="F259" s="32" t="s">
        <v>173</v>
      </c>
      <c r="G259" s="32">
        <v>3.4575999999999998</v>
      </c>
      <c r="H259" s="32">
        <v>4.1806947706308799</v>
      </c>
      <c r="I259" s="32" t="s">
        <v>174</v>
      </c>
      <c r="J259" s="32">
        <v>3</v>
      </c>
      <c r="K259" s="32" t="s">
        <v>183</v>
      </c>
      <c r="L259" s="18">
        <f t="shared" si="4"/>
        <v>999999999</v>
      </c>
    </row>
    <row r="260" spans="1:12" ht="15" customHeight="1" x14ac:dyDescent="0.25">
      <c r="A260" s="32" t="s">
        <v>186</v>
      </c>
      <c r="B260" s="32" t="s">
        <v>176</v>
      </c>
      <c r="C260" s="32" t="s">
        <v>154</v>
      </c>
      <c r="D260" s="32">
        <v>10.43715192</v>
      </c>
      <c r="E260" s="32">
        <v>10.886208</v>
      </c>
      <c r="F260" s="32" t="s">
        <v>173</v>
      </c>
      <c r="G260" s="32">
        <v>3.4935999999999998</v>
      </c>
      <c r="H260" s="32">
        <v>4.2600612497574897</v>
      </c>
      <c r="I260" s="32" t="s">
        <v>174</v>
      </c>
      <c r="J260" s="32">
        <v>3</v>
      </c>
      <c r="K260" s="32" t="s">
        <v>183</v>
      </c>
      <c r="L260" s="18">
        <f t="shared" si="4"/>
        <v>999999999</v>
      </c>
    </row>
    <row r="261" spans="1:12" ht="15" customHeight="1" x14ac:dyDescent="0.25">
      <c r="A261" s="32" t="s">
        <v>186</v>
      </c>
      <c r="B261" s="32" t="s">
        <v>176</v>
      </c>
      <c r="C261" s="32" t="s">
        <v>154</v>
      </c>
      <c r="D261" s="32">
        <v>10.89074392</v>
      </c>
      <c r="E261" s="32">
        <v>11.3398</v>
      </c>
      <c r="F261" s="32" t="s">
        <v>173</v>
      </c>
      <c r="G261" s="32">
        <v>3.5295999999999998</v>
      </c>
      <c r="H261" s="32">
        <v>4.3394277288841101</v>
      </c>
      <c r="I261" s="32" t="s">
        <v>174</v>
      </c>
      <c r="J261" s="32">
        <v>3</v>
      </c>
      <c r="K261" s="32" t="s">
        <v>183</v>
      </c>
      <c r="L261" s="18">
        <f t="shared" si="4"/>
        <v>999999999</v>
      </c>
    </row>
    <row r="262" spans="1:12" ht="15" customHeight="1" x14ac:dyDescent="0.25">
      <c r="A262" s="32" t="s">
        <v>186</v>
      </c>
      <c r="B262" s="32" t="s">
        <v>176</v>
      </c>
      <c r="C262" s="32" t="s">
        <v>154</v>
      </c>
      <c r="D262" s="32">
        <v>11.344335920000001</v>
      </c>
      <c r="E262" s="32">
        <v>11.793392000000001</v>
      </c>
      <c r="F262" s="32" t="s">
        <v>173</v>
      </c>
      <c r="G262" s="32">
        <v>3.5655999999999999</v>
      </c>
      <c r="H262" s="32">
        <v>3.4187942080107199</v>
      </c>
      <c r="I262" s="32" t="s">
        <v>174</v>
      </c>
      <c r="J262" s="32">
        <v>3</v>
      </c>
      <c r="K262" s="32" t="s">
        <v>183</v>
      </c>
      <c r="L262" s="18">
        <f t="shared" si="4"/>
        <v>999999999</v>
      </c>
    </row>
    <row r="263" spans="1:12" ht="15" customHeight="1" x14ac:dyDescent="0.25">
      <c r="A263" s="32" t="s">
        <v>186</v>
      </c>
      <c r="B263" s="32" t="s">
        <v>176</v>
      </c>
      <c r="C263" s="32" t="s">
        <v>154</v>
      </c>
      <c r="D263" s="32">
        <v>11.797927919999999</v>
      </c>
      <c r="E263" s="32">
        <v>12.246983999999999</v>
      </c>
      <c r="F263" s="32" t="s">
        <v>173</v>
      </c>
      <c r="G263" s="32">
        <v>3.6015999999999999</v>
      </c>
      <c r="H263" s="32">
        <v>4.4981606871373403</v>
      </c>
      <c r="I263" s="32" t="s">
        <v>174</v>
      </c>
      <c r="J263" s="32">
        <v>3</v>
      </c>
      <c r="K263" s="32" t="s">
        <v>183</v>
      </c>
      <c r="L263" s="18">
        <f t="shared" si="4"/>
        <v>999999999</v>
      </c>
    </row>
    <row r="264" spans="1:12" ht="15" customHeight="1" x14ac:dyDescent="0.25">
      <c r="A264" s="32" t="s">
        <v>186</v>
      </c>
      <c r="B264" s="32" t="s">
        <v>176</v>
      </c>
      <c r="C264" s="32" t="s">
        <v>154</v>
      </c>
      <c r="D264" s="32">
        <v>12.25151992</v>
      </c>
      <c r="E264" s="32">
        <v>12.700576</v>
      </c>
      <c r="F264" s="32" t="s">
        <v>173</v>
      </c>
      <c r="G264" s="32">
        <v>3.6375999999999999</v>
      </c>
      <c r="H264" s="32">
        <v>4.5775271662639598</v>
      </c>
      <c r="I264" s="32" t="s">
        <v>174</v>
      </c>
      <c r="J264" s="32">
        <v>3</v>
      </c>
      <c r="K264" s="32" t="s">
        <v>183</v>
      </c>
      <c r="L264" s="18">
        <f t="shared" si="4"/>
        <v>999999999</v>
      </c>
    </row>
    <row r="265" spans="1:12" ht="15" customHeight="1" x14ac:dyDescent="0.25">
      <c r="A265" s="32" t="s">
        <v>186</v>
      </c>
      <c r="B265" s="32" t="s">
        <v>176</v>
      </c>
      <c r="C265" s="32" t="s">
        <v>154</v>
      </c>
      <c r="D265" s="32">
        <v>12.70511192</v>
      </c>
      <c r="E265" s="32">
        <v>13.154168</v>
      </c>
      <c r="F265" s="32" t="s">
        <v>173</v>
      </c>
      <c r="G265" s="32">
        <v>3.6736</v>
      </c>
      <c r="H265" s="32">
        <v>3.65689364539057</v>
      </c>
      <c r="I265" s="32" t="s">
        <v>174</v>
      </c>
      <c r="J265" s="32">
        <v>3</v>
      </c>
      <c r="K265" s="32" t="s">
        <v>183</v>
      </c>
      <c r="L265" s="18">
        <f t="shared" si="4"/>
        <v>999999999</v>
      </c>
    </row>
    <row r="266" spans="1:12" ht="15" customHeight="1" x14ac:dyDescent="0.25">
      <c r="A266" s="32" t="s">
        <v>186</v>
      </c>
      <c r="B266" s="32" t="s">
        <v>176</v>
      </c>
      <c r="C266" s="32" t="s">
        <v>154</v>
      </c>
      <c r="D266" s="32">
        <v>13.158703920000001</v>
      </c>
      <c r="E266" s="32">
        <v>13.607760000000001</v>
      </c>
      <c r="F266" s="32" t="s">
        <v>173</v>
      </c>
      <c r="G266" s="32">
        <v>3.7096</v>
      </c>
      <c r="H266" s="32">
        <v>3.73626012451719</v>
      </c>
      <c r="I266" s="32" t="s">
        <v>174</v>
      </c>
      <c r="J266" s="32">
        <v>3</v>
      </c>
      <c r="K266" s="32" t="s">
        <v>183</v>
      </c>
      <c r="L266" s="18">
        <f t="shared" si="4"/>
        <v>999999999</v>
      </c>
    </row>
    <row r="267" spans="1:12" ht="15" customHeight="1" x14ac:dyDescent="0.25">
      <c r="A267" s="32" t="s">
        <v>186</v>
      </c>
      <c r="B267" s="32" t="s">
        <v>176</v>
      </c>
      <c r="C267" s="32" t="s">
        <v>154</v>
      </c>
      <c r="D267" s="32">
        <v>13.612295919999999</v>
      </c>
      <c r="E267" s="32">
        <v>14.061351999999999</v>
      </c>
      <c r="F267" s="32" t="s">
        <v>173</v>
      </c>
      <c r="G267" s="32">
        <v>3.7456</v>
      </c>
      <c r="H267" s="32">
        <v>3.8156266036437998</v>
      </c>
      <c r="I267" s="32" t="s">
        <v>174</v>
      </c>
      <c r="J267" s="32">
        <v>3</v>
      </c>
      <c r="K267" s="32" t="s">
        <v>183</v>
      </c>
      <c r="L267" s="18">
        <f t="shared" si="4"/>
        <v>999999999</v>
      </c>
    </row>
    <row r="268" spans="1:12" ht="15" customHeight="1" x14ac:dyDescent="0.25">
      <c r="A268" s="32" t="s">
        <v>186</v>
      </c>
      <c r="B268" s="32" t="s">
        <v>176</v>
      </c>
      <c r="C268" s="32" t="s">
        <v>154</v>
      </c>
      <c r="D268" s="32">
        <v>14.06588792</v>
      </c>
      <c r="E268" s="32">
        <v>14.514944</v>
      </c>
      <c r="F268" s="32" t="s">
        <v>173</v>
      </c>
      <c r="G268" s="32">
        <v>3.7816000000000001</v>
      </c>
      <c r="H268" s="32">
        <v>3.8949930827704198</v>
      </c>
      <c r="I268" s="32" t="s">
        <v>174</v>
      </c>
      <c r="J268" s="32">
        <v>3</v>
      </c>
      <c r="K268" s="32" t="s">
        <v>183</v>
      </c>
      <c r="L268" s="18">
        <f t="shared" si="4"/>
        <v>999999999</v>
      </c>
    </row>
    <row r="269" spans="1:12" ht="15" customHeight="1" x14ac:dyDescent="0.25">
      <c r="A269" s="32" t="s">
        <v>186</v>
      </c>
      <c r="B269" s="32" t="s">
        <v>176</v>
      </c>
      <c r="C269" s="32" t="s">
        <v>154</v>
      </c>
      <c r="D269" s="32">
        <v>14.51947992</v>
      </c>
      <c r="E269" s="32">
        <v>14.968536</v>
      </c>
      <c r="F269" s="32" t="s">
        <v>173</v>
      </c>
      <c r="G269" s="32">
        <v>3.8176000000000001</v>
      </c>
      <c r="H269" s="32">
        <v>2.9743595618970402</v>
      </c>
      <c r="I269" s="32" t="s">
        <v>174</v>
      </c>
      <c r="J269" s="32">
        <v>3</v>
      </c>
      <c r="K269" s="32" t="s">
        <v>183</v>
      </c>
      <c r="L269" s="18">
        <f t="shared" si="4"/>
        <v>999999999</v>
      </c>
    </row>
    <row r="270" spans="1:12" ht="15" customHeight="1" x14ac:dyDescent="0.25">
      <c r="A270" s="32" t="s">
        <v>186</v>
      </c>
      <c r="B270" s="32" t="s">
        <v>176</v>
      </c>
      <c r="C270" s="32" t="s">
        <v>154</v>
      </c>
      <c r="D270" s="32">
        <v>14.973071920000001</v>
      </c>
      <c r="E270" s="32">
        <v>15.422128000000001</v>
      </c>
      <c r="F270" s="32" t="s">
        <v>173</v>
      </c>
      <c r="G270" s="32">
        <v>3.8536000000000001</v>
      </c>
      <c r="H270" s="32">
        <v>5.0537260410236504</v>
      </c>
      <c r="I270" s="32" t="s">
        <v>174</v>
      </c>
      <c r="J270" s="32">
        <v>3</v>
      </c>
      <c r="K270" s="32" t="s">
        <v>183</v>
      </c>
      <c r="L270" s="18">
        <f t="shared" si="4"/>
        <v>999999999</v>
      </c>
    </row>
    <row r="271" spans="1:12" ht="15" customHeight="1" x14ac:dyDescent="0.25">
      <c r="A271" s="32" t="s">
        <v>186</v>
      </c>
      <c r="B271" s="32" t="s">
        <v>176</v>
      </c>
      <c r="C271" s="32" t="s">
        <v>154</v>
      </c>
      <c r="D271" s="32">
        <v>15.426663919999999</v>
      </c>
      <c r="E271" s="32">
        <v>15.875719999999999</v>
      </c>
      <c r="F271" s="32" t="s">
        <v>173</v>
      </c>
      <c r="G271" s="32">
        <v>3.8896000000000002</v>
      </c>
      <c r="H271" s="32">
        <v>6.13309252015027</v>
      </c>
      <c r="I271" s="32" t="s">
        <v>174</v>
      </c>
      <c r="J271" s="32">
        <v>3</v>
      </c>
      <c r="K271" s="32" t="s">
        <v>183</v>
      </c>
      <c r="L271" s="18">
        <f t="shared" si="4"/>
        <v>999999999</v>
      </c>
    </row>
    <row r="272" spans="1:12" ht="15" customHeight="1" x14ac:dyDescent="0.25">
      <c r="A272" s="32" t="s">
        <v>186</v>
      </c>
      <c r="B272" s="32" t="s">
        <v>176</v>
      </c>
      <c r="C272" s="32" t="s">
        <v>154</v>
      </c>
      <c r="D272" s="32">
        <v>15.88025592</v>
      </c>
      <c r="E272" s="32">
        <v>16.329312000000002</v>
      </c>
      <c r="F272" s="32" t="s">
        <v>173</v>
      </c>
      <c r="G272" s="32">
        <v>3.9256000000000002</v>
      </c>
      <c r="H272" s="32">
        <v>2.2124589992768802</v>
      </c>
      <c r="I272" s="32" t="s">
        <v>174</v>
      </c>
      <c r="J272" s="32">
        <v>3</v>
      </c>
      <c r="K272" s="32" t="s">
        <v>183</v>
      </c>
      <c r="L272" s="18">
        <f t="shared" si="4"/>
        <v>999999999</v>
      </c>
    </row>
    <row r="273" spans="1:12" ht="15" customHeight="1" x14ac:dyDescent="0.25">
      <c r="A273" s="32" t="s">
        <v>186</v>
      </c>
      <c r="B273" s="32" t="s">
        <v>176</v>
      </c>
      <c r="C273" s="32" t="s">
        <v>154</v>
      </c>
      <c r="D273" s="32">
        <v>16.33384792</v>
      </c>
      <c r="E273" s="32">
        <v>16.782903999999998</v>
      </c>
      <c r="F273" s="32" t="s">
        <v>173</v>
      </c>
      <c r="G273" s="32">
        <v>3.9615999999999998</v>
      </c>
      <c r="H273" s="32">
        <v>5.2918254784035001</v>
      </c>
      <c r="I273" s="32" t="s">
        <v>174</v>
      </c>
      <c r="J273" s="32">
        <v>3</v>
      </c>
      <c r="K273" s="32" t="s">
        <v>183</v>
      </c>
      <c r="L273" s="18">
        <f t="shared" si="4"/>
        <v>999999999</v>
      </c>
    </row>
    <row r="274" spans="1:12" ht="15" customHeight="1" x14ac:dyDescent="0.25">
      <c r="A274" s="32" t="s">
        <v>186</v>
      </c>
      <c r="B274" s="32" t="s">
        <v>176</v>
      </c>
      <c r="C274" s="32" t="s">
        <v>154</v>
      </c>
      <c r="D274" s="32">
        <v>16.787439920000001</v>
      </c>
      <c r="E274" s="32">
        <v>17.236495999999999</v>
      </c>
      <c r="F274" s="32" t="s">
        <v>173</v>
      </c>
      <c r="G274" s="32">
        <v>3.9975999999999998</v>
      </c>
      <c r="H274" s="32">
        <v>2.3711919575301201</v>
      </c>
      <c r="I274" s="32" t="s">
        <v>174</v>
      </c>
      <c r="J274" s="32">
        <v>3</v>
      </c>
      <c r="K274" s="32" t="s">
        <v>183</v>
      </c>
      <c r="L274" s="18">
        <f t="shared" si="4"/>
        <v>999999999</v>
      </c>
    </row>
    <row r="275" spans="1:12" ht="15" customHeight="1" x14ac:dyDescent="0.25">
      <c r="A275" s="32" t="s">
        <v>186</v>
      </c>
      <c r="B275" s="32" t="s">
        <v>176</v>
      </c>
      <c r="C275" s="32" t="s">
        <v>154</v>
      </c>
      <c r="D275" s="32">
        <v>17.241031920000001</v>
      </c>
      <c r="E275" s="32">
        <v>17.690087999999999</v>
      </c>
      <c r="F275" s="32" t="s">
        <v>173</v>
      </c>
      <c r="G275" s="32">
        <v>5.0335999999999999</v>
      </c>
      <c r="H275" s="32">
        <v>5.4505584366567303</v>
      </c>
      <c r="I275" s="32" t="s">
        <v>174</v>
      </c>
      <c r="J275" s="32">
        <v>3</v>
      </c>
      <c r="K275" s="32" t="s">
        <v>183</v>
      </c>
      <c r="L275" s="18">
        <f t="shared" si="4"/>
        <v>999999999</v>
      </c>
    </row>
    <row r="276" spans="1:12" ht="15" customHeight="1" x14ac:dyDescent="0.25">
      <c r="A276" s="32" t="s">
        <v>186</v>
      </c>
      <c r="B276" s="32" t="s">
        <v>176</v>
      </c>
      <c r="C276" s="32" t="s">
        <v>154</v>
      </c>
      <c r="D276" s="32">
        <v>17.694623920000002</v>
      </c>
      <c r="E276" s="32">
        <v>18.14368</v>
      </c>
      <c r="F276" s="32" t="s">
        <v>173</v>
      </c>
      <c r="G276" s="32">
        <v>5.0696000000000003</v>
      </c>
      <c r="H276" s="32">
        <v>5.5299249157833499</v>
      </c>
      <c r="I276" s="32" t="s">
        <v>174</v>
      </c>
      <c r="J276" s="32">
        <v>3</v>
      </c>
      <c r="K276" s="32" t="s">
        <v>183</v>
      </c>
      <c r="L276" s="18">
        <f t="shared" si="4"/>
        <v>999999999</v>
      </c>
    </row>
    <row r="277" spans="1:12" ht="15" customHeight="1" x14ac:dyDescent="0.25">
      <c r="A277" s="32" t="s">
        <v>186</v>
      </c>
      <c r="B277" s="32" t="s">
        <v>176</v>
      </c>
      <c r="C277" s="32" t="s">
        <v>154</v>
      </c>
      <c r="D277" s="32">
        <v>18.148215919999998</v>
      </c>
      <c r="E277" s="32">
        <v>18.597272</v>
      </c>
      <c r="F277" s="32" t="s">
        <v>173</v>
      </c>
      <c r="G277" s="32">
        <v>5.1055999999999999</v>
      </c>
      <c r="H277" s="32">
        <v>6.6092913949099596</v>
      </c>
      <c r="I277" s="32" t="s">
        <v>174</v>
      </c>
      <c r="J277" s="32">
        <v>3</v>
      </c>
      <c r="K277" s="32" t="s">
        <v>183</v>
      </c>
      <c r="L277" s="18">
        <f t="shared" si="4"/>
        <v>999999999</v>
      </c>
    </row>
    <row r="278" spans="1:12" ht="15" customHeight="1" x14ac:dyDescent="0.25">
      <c r="A278" s="32" t="s">
        <v>186</v>
      </c>
      <c r="B278" s="32" t="s">
        <v>176</v>
      </c>
      <c r="C278" s="32" t="s">
        <v>154</v>
      </c>
      <c r="D278" s="32">
        <v>18.601807919999999</v>
      </c>
      <c r="E278" s="32">
        <v>19.050864000000001</v>
      </c>
      <c r="F278" s="32" t="s">
        <v>173</v>
      </c>
      <c r="G278" s="32">
        <v>5.1416000000000004</v>
      </c>
      <c r="H278" s="32">
        <v>2.6886578740365801</v>
      </c>
      <c r="I278" s="32" t="s">
        <v>174</v>
      </c>
      <c r="J278" s="32">
        <v>3</v>
      </c>
      <c r="K278" s="32" t="s">
        <v>183</v>
      </c>
      <c r="L278" s="18">
        <f t="shared" si="4"/>
        <v>999999999</v>
      </c>
    </row>
    <row r="279" spans="1:12" ht="15" customHeight="1" x14ac:dyDescent="0.25">
      <c r="A279" s="32" t="s">
        <v>186</v>
      </c>
      <c r="B279" s="32" t="s">
        <v>176</v>
      </c>
      <c r="C279" s="32" t="s">
        <v>154</v>
      </c>
      <c r="D279" s="32">
        <v>19.055399919999999</v>
      </c>
      <c r="E279" s="32">
        <v>19.504456000000001</v>
      </c>
      <c r="F279" s="32" t="s">
        <v>173</v>
      </c>
      <c r="G279" s="32">
        <v>5.1776</v>
      </c>
      <c r="H279" s="32">
        <v>5.7680243531631996</v>
      </c>
      <c r="I279" s="32" t="s">
        <v>174</v>
      </c>
      <c r="J279" s="32">
        <v>3</v>
      </c>
      <c r="K279" s="32" t="s">
        <v>183</v>
      </c>
      <c r="L279" s="18">
        <f t="shared" si="4"/>
        <v>999999999</v>
      </c>
    </row>
    <row r="280" spans="1:12" ht="15" customHeight="1" x14ac:dyDescent="0.25">
      <c r="A280" s="32" t="s">
        <v>186</v>
      </c>
      <c r="B280" s="32" t="s">
        <v>176</v>
      </c>
      <c r="C280" s="32" t="s">
        <v>154</v>
      </c>
      <c r="D280" s="32">
        <v>19.50899192</v>
      </c>
      <c r="E280" s="32">
        <v>19.958048000000002</v>
      </c>
      <c r="F280" s="32" t="s">
        <v>173</v>
      </c>
      <c r="G280" s="32">
        <v>5.2135999999999996</v>
      </c>
      <c r="H280" s="32">
        <v>6.8473908322898103</v>
      </c>
      <c r="I280" s="32" t="s">
        <v>174</v>
      </c>
      <c r="J280" s="32">
        <v>3</v>
      </c>
      <c r="K280" s="32" t="s">
        <v>183</v>
      </c>
      <c r="L280" s="18">
        <f t="shared" si="4"/>
        <v>999999999</v>
      </c>
    </row>
    <row r="281" spans="1:12" ht="15" customHeight="1" x14ac:dyDescent="0.25">
      <c r="A281" s="32" t="s">
        <v>186</v>
      </c>
      <c r="B281" s="32" t="s">
        <v>176</v>
      </c>
      <c r="C281" s="32" t="s">
        <v>154</v>
      </c>
      <c r="D281" s="32">
        <v>19.96258392</v>
      </c>
      <c r="E281" s="32">
        <v>20.411639999999998</v>
      </c>
      <c r="F281" s="32" t="s">
        <v>173</v>
      </c>
      <c r="G281" s="32">
        <v>5.2496</v>
      </c>
      <c r="H281" s="32">
        <v>2.9267573114164298</v>
      </c>
      <c r="I281" s="32" t="s">
        <v>174</v>
      </c>
      <c r="J281" s="32">
        <v>3</v>
      </c>
      <c r="K281" s="32" t="s">
        <v>183</v>
      </c>
      <c r="L281" s="18">
        <f t="shared" si="4"/>
        <v>999999999</v>
      </c>
    </row>
    <row r="282" spans="1:12" ht="15" customHeight="1" x14ac:dyDescent="0.25">
      <c r="A282" s="32" t="s">
        <v>186</v>
      </c>
      <c r="B282" s="32" t="s">
        <v>176</v>
      </c>
      <c r="C282" s="32" t="s">
        <v>154</v>
      </c>
      <c r="D282" s="32">
        <v>20.416175920000001</v>
      </c>
      <c r="E282" s="32">
        <v>20.865231999999999</v>
      </c>
      <c r="F282" s="32" t="s">
        <v>173</v>
      </c>
      <c r="G282" s="32">
        <v>5.2855999999999996</v>
      </c>
      <c r="H282" s="32">
        <v>5.0061237905430396</v>
      </c>
      <c r="I282" s="32" t="s">
        <v>174</v>
      </c>
      <c r="J282" s="32">
        <v>3</v>
      </c>
      <c r="K282" s="32" t="s">
        <v>183</v>
      </c>
      <c r="L282" s="18">
        <f t="shared" si="4"/>
        <v>999999999</v>
      </c>
    </row>
    <row r="283" spans="1:12" ht="15" customHeight="1" x14ac:dyDescent="0.25">
      <c r="A283" s="32" t="s">
        <v>186</v>
      </c>
      <c r="B283" s="32" t="s">
        <v>176</v>
      </c>
      <c r="C283" s="32" t="s">
        <v>154</v>
      </c>
      <c r="D283" s="32">
        <v>20.869767920000001</v>
      </c>
      <c r="E283" s="32">
        <v>21.318823999999999</v>
      </c>
      <c r="F283" s="32" t="s">
        <v>173</v>
      </c>
      <c r="G283" s="32">
        <v>5.3216000000000001</v>
      </c>
      <c r="H283" s="32">
        <v>3.08549026966966</v>
      </c>
      <c r="I283" s="32" t="s">
        <v>174</v>
      </c>
      <c r="J283" s="32">
        <v>3</v>
      </c>
      <c r="K283" s="32" t="s">
        <v>183</v>
      </c>
      <c r="L283" s="18">
        <f t="shared" si="4"/>
        <v>999999999</v>
      </c>
    </row>
    <row r="284" spans="1:12" ht="15" customHeight="1" x14ac:dyDescent="0.25">
      <c r="A284" s="32" t="s">
        <v>186</v>
      </c>
      <c r="B284" s="32" t="s">
        <v>176</v>
      </c>
      <c r="C284" s="32" t="s">
        <v>154</v>
      </c>
      <c r="D284" s="32">
        <v>21.323359920000001</v>
      </c>
      <c r="E284" s="32">
        <v>21.772416</v>
      </c>
      <c r="F284" s="32" t="s">
        <v>173</v>
      </c>
      <c r="G284" s="32">
        <v>5.3575999999999997</v>
      </c>
      <c r="H284" s="32">
        <v>5.1648567487962804</v>
      </c>
      <c r="I284" s="32" t="s">
        <v>174</v>
      </c>
      <c r="J284" s="32">
        <v>3</v>
      </c>
      <c r="K284" s="32" t="s">
        <v>183</v>
      </c>
      <c r="L284" s="18">
        <f t="shared" si="4"/>
        <v>999999999</v>
      </c>
    </row>
    <row r="285" spans="1:12" ht="15" customHeight="1" x14ac:dyDescent="0.25">
      <c r="A285" s="32" t="s">
        <v>186</v>
      </c>
      <c r="B285" s="32" t="s">
        <v>176</v>
      </c>
      <c r="C285" s="32" t="s">
        <v>154</v>
      </c>
      <c r="D285" s="32">
        <v>21.776951919999998</v>
      </c>
      <c r="E285" s="32">
        <v>22.226008</v>
      </c>
      <c r="F285" s="32" t="s">
        <v>173</v>
      </c>
      <c r="G285" s="32">
        <v>5.3936000000000002</v>
      </c>
      <c r="H285" s="32">
        <v>5.2442232279228902</v>
      </c>
      <c r="I285" s="32" t="s">
        <v>174</v>
      </c>
      <c r="J285" s="32">
        <v>3</v>
      </c>
      <c r="K285" s="32" t="s">
        <v>183</v>
      </c>
      <c r="L285" s="18">
        <f t="shared" si="4"/>
        <v>999999999</v>
      </c>
    </row>
    <row r="286" spans="1:12" ht="15" customHeight="1" x14ac:dyDescent="0.25">
      <c r="A286" s="32" t="s">
        <v>186</v>
      </c>
      <c r="B286" s="32" t="s">
        <v>176</v>
      </c>
      <c r="C286" s="32" t="s">
        <v>154</v>
      </c>
      <c r="D286" s="32">
        <v>22.230543919999999</v>
      </c>
      <c r="E286" s="32">
        <v>22.679600000000001</v>
      </c>
      <c r="F286" s="32" t="s">
        <v>173</v>
      </c>
      <c r="G286" s="32">
        <v>5.4295999999999998</v>
      </c>
      <c r="H286" s="32">
        <v>3.3235897070495102</v>
      </c>
      <c r="I286" s="32" t="s">
        <v>174</v>
      </c>
      <c r="J286" s="32">
        <v>3</v>
      </c>
      <c r="K286" s="32" t="s">
        <v>183</v>
      </c>
      <c r="L286" s="18">
        <f t="shared" si="4"/>
        <v>999999999</v>
      </c>
    </row>
    <row r="287" spans="1:12" ht="15" customHeight="1" x14ac:dyDescent="0.25">
      <c r="A287" s="32" t="s">
        <v>186</v>
      </c>
      <c r="B287" s="32" t="s">
        <v>176</v>
      </c>
      <c r="C287" s="32" t="s">
        <v>154</v>
      </c>
      <c r="D287" s="32">
        <v>22.684135919999999</v>
      </c>
      <c r="E287" s="32">
        <v>23.133192000000001</v>
      </c>
      <c r="F287" s="32" t="s">
        <v>173</v>
      </c>
      <c r="G287" s="32">
        <v>5.4668000000000001</v>
      </c>
      <c r="H287" s="32">
        <v>6.4056017354803396</v>
      </c>
      <c r="I287" s="32" t="s">
        <v>174</v>
      </c>
      <c r="J287" s="32">
        <v>3</v>
      </c>
      <c r="K287" s="32" t="s">
        <v>183</v>
      </c>
      <c r="L287" s="18">
        <f t="shared" si="4"/>
        <v>999999999</v>
      </c>
    </row>
    <row r="288" spans="1:12" ht="15" customHeight="1" x14ac:dyDescent="0.25">
      <c r="A288" s="32" t="s">
        <v>186</v>
      </c>
      <c r="B288" s="32" t="s">
        <v>176</v>
      </c>
      <c r="C288" s="32" t="s">
        <v>154</v>
      </c>
      <c r="D288" s="32">
        <v>23.13772792</v>
      </c>
      <c r="E288" s="32">
        <v>23.586784000000002</v>
      </c>
      <c r="F288" s="32" t="s">
        <v>173</v>
      </c>
      <c r="G288" s="32">
        <v>5.5039999999999996</v>
      </c>
      <c r="H288" s="32">
        <v>7.4876137639111802</v>
      </c>
      <c r="I288" s="32" t="s">
        <v>174</v>
      </c>
      <c r="J288" s="32">
        <v>3</v>
      </c>
      <c r="K288" s="32" t="s">
        <v>183</v>
      </c>
      <c r="L288" s="18">
        <f t="shared" si="4"/>
        <v>999999999</v>
      </c>
    </row>
    <row r="289" spans="1:12" ht="15" customHeight="1" x14ac:dyDescent="0.25">
      <c r="A289" s="32" t="s">
        <v>186</v>
      </c>
      <c r="B289" s="32" t="s">
        <v>176</v>
      </c>
      <c r="C289" s="32" t="s">
        <v>154</v>
      </c>
      <c r="D289" s="32">
        <v>23.59131992</v>
      </c>
      <c r="E289" s="32">
        <v>24.040375999999998</v>
      </c>
      <c r="F289" s="32" t="s">
        <v>173</v>
      </c>
      <c r="G289" s="32">
        <v>5.5411999999999999</v>
      </c>
      <c r="H289" s="32">
        <v>5.5696257923420198</v>
      </c>
      <c r="I289" s="32" t="s">
        <v>174</v>
      </c>
      <c r="J289" s="32">
        <v>3</v>
      </c>
      <c r="K289" s="32" t="s">
        <v>183</v>
      </c>
      <c r="L289" s="18">
        <f t="shared" si="4"/>
        <v>999999999</v>
      </c>
    </row>
    <row r="290" spans="1:12" ht="15" customHeight="1" x14ac:dyDescent="0.25">
      <c r="A290" s="32" t="s">
        <v>186</v>
      </c>
      <c r="B290" s="32" t="s">
        <v>176</v>
      </c>
      <c r="C290" s="32" t="s">
        <v>154</v>
      </c>
      <c r="D290" s="32">
        <v>24.044911920000001</v>
      </c>
      <c r="E290" s="32">
        <v>24.493967999999999</v>
      </c>
      <c r="F290" s="32" t="s">
        <v>173</v>
      </c>
      <c r="G290" s="32">
        <v>5.5784000000000002</v>
      </c>
      <c r="H290" s="32">
        <v>6.6516378207728497</v>
      </c>
      <c r="I290" s="32" t="s">
        <v>174</v>
      </c>
      <c r="J290" s="32">
        <v>3</v>
      </c>
      <c r="K290" s="32" t="s">
        <v>183</v>
      </c>
      <c r="L290" s="18">
        <f t="shared" si="4"/>
        <v>999999999</v>
      </c>
    </row>
    <row r="291" spans="1:12" ht="15" customHeight="1" x14ac:dyDescent="0.25">
      <c r="A291" s="32" t="s">
        <v>186</v>
      </c>
      <c r="B291" s="32" t="s">
        <v>176</v>
      </c>
      <c r="C291" s="32" t="s">
        <v>154</v>
      </c>
      <c r="D291" s="32">
        <v>24.498503920000001</v>
      </c>
      <c r="E291" s="32">
        <v>24.947559999999999</v>
      </c>
      <c r="F291" s="32" t="s">
        <v>173</v>
      </c>
      <c r="G291" s="32">
        <v>5.6155999999999997</v>
      </c>
      <c r="H291" s="32">
        <v>7.7336498492036903</v>
      </c>
      <c r="I291" s="32" t="s">
        <v>174</v>
      </c>
      <c r="J291" s="32">
        <v>3</v>
      </c>
      <c r="K291" s="32" t="s">
        <v>183</v>
      </c>
      <c r="L291" s="18">
        <f t="shared" si="4"/>
        <v>999999999</v>
      </c>
    </row>
    <row r="292" spans="1:12" ht="15" customHeight="1" x14ac:dyDescent="0.25">
      <c r="A292" s="32" t="s">
        <v>186</v>
      </c>
      <c r="B292" s="32" t="s">
        <v>176</v>
      </c>
      <c r="C292" s="32" t="s">
        <v>154</v>
      </c>
      <c r="D292" s="32">
        <v>24.952095920000001</v>
      </c>
      <c r="E292" s="32">
        <v>25.401152</v>
      </c>
      <c r="F292" s="32" t="s">
        <v>173</v>
      </c>
      <c r="G292" s="32">
        <v>5.6528</v>
      </c>
      <c r="H292" s="32">
        <v>5.8156618776345299</v>
      </c>
      <c r="I292" s="32" t="s">
        <v>174</v>
      </c>
      <c r="J292" s="32">
        <v>3</v>
      </c>
      <c r="K292" s="32" t="s">
        <v>183</v>
      </c>
      <c r="L292" s="18">
        <f t="shared" si="4"/>
        <v>999999999</v>
      </c>
    </row>
    <row r="293" spans="1:12" ht="15" customHeight="1" x14ac:dyDescent="0.25">
      <c r="A293" s="32" t="s">
        <v>186</v>
      </c>
      <c r="B293" s="32" t="s">
        <v>176</v>
      </c>
      <c r="C293" s="32" t="s">
        <v>154</v>
      </c>
      <c r="D293" s="32">
        <v>25.405687919999998</v>
      </c>
      <c r="E293" s="32">
        <v>25.854744</v>
      </c>
      <c r="F293" s="32" t="s">
        <v>173</v>
      </c>
      <c r="G293" s="32">
        <v>5.69</v>
      </c>
      <c r="H293" s="32">
        <v>4.8976739060653598</v>
      </c>
      <c r="I293" s="32" t="s">
        <v>174</v>
      </c>
      <c r="J293" s="32">
        <v>3</v>
      </c>
      <c r="K293" s="32" t="s">
        <v>183</v>
      </c>
      <c r="L293" s="18">
        <f t="shared" si="4"/>
        <v>999999999</v>
      </c>
    </row>
    <row r="294" spans="1:12" ht="15" customHeight="1" x14ac:dyDescent="0.25">
      <c r="A294" s="32" t="s">
        <v>186</v>
      </c>
      <c r="B294" s="32" t="s">
        <v>176</v>
      </c>
      <c r="C294" s="32" t="s">
        <v>154</v>
      </c>
      <c r="D294" s="32">
        <v>25.859279919999999</v>
      </c>
      <c r="E294" s="32">
        <v>26.308336000000001</v>
      </c>
      <c r="F294" s="32" t="s">
        <v>173</v>
      </c>
      <c r="G294" s="32">
        <v>5.7271999999999998</v>
      </c>
      <c r="H294" s="32">
        <v>6.9796859344962003</v>
      </c>
      <c r="I294" s="32" t="s">
        <v>174</v>
      </c>
      <c r="J294" s="32">
        <v>3</v>
      </c>
      <c r="K294" s="32" t="s">
        <v>183</v>
      </c>
      <c r="L294" s="18">
        <f t="shared" si="4"/>
        <v>999999999</v>
      </c>
    </row>
    <row r="295" spans="1:12" ht="15" customHeight="1" x14ac:dyDescent="0.25">
      <c r="A295" s="32" t="s">
        <v>186</v>
      </c>
      <c r="B295" s="32" t="s">
        <v>176</v>
      </c>
      <c r="C295" s="32" t="s">
        <v>154</v>
      </c>
      <c r="D295" s="32">
        <v>26.312871919999999</v>
      </c>
      <c r="E295" s="32">
        <v>26.761928000000001</v>
      </c>
      <c r="F295" s="32" t="s">
        <v>173</v>
      </c>
      <c r="G295" s="32">
        <v>5.7644000000000002</v>
      </c>
      <c r="H295" s="32">
        <v>6.06169796292704</v>
      </c>
      <c r="I295" s="32" t="s">
        <v>174</v>
      </c>
      <c r="J295" s="32">
        <v>3</v>
      </c>
      <c r="K295" s="32" t="s">
        <v>183</v>
      </c>
      <c r="L295" s="18">
        <f t="shared" si="4"/>
        <v>999999999</v>
      </c>
    </row>
    <row r="296" spans="1:12" ht="15" customHeight="1" x14ac:dyDescent="0.25">
      <c r="A296" s="32" t="s">
        <v>186</v>
      </c>
      <c r="B296" s="32" t="s">
        <v>176</v>
      </c>
      <c r="C296" s="32" t="s">
        <v>154</v>
      </c>
      <c r="D296" s="32">
        <v>26.76646392</v>
      </c>
      <c r="E296" s="32">
        <v>27.215520000000001</v>
      </c>
      <c r="F296" s="32" t="s">
        <v>173</v>
      </c>
      <c r="G296" s="32">
        <v>5.8015999999999996</v>
      </c>
      <c r="H296" s="32">
        <v>6.1437099913578699</v>
      </c>
      <c r="I296" s="32" t="s">
        <v>174</v>
      </c>
      <c r="J296" s="32">
        <v>3</v>
      </c>
      <c r="K296" s="32" t="s">
        <v>183</v>
      </c>
      <c r="L296" s="18">
        <f t="shared" si="4"/>
        <v>999999999</v>
      </c>
    </row>
    <row r="297" spans="1:12" ht="15" customHeight="1" x14ac:dyDescent="0.25">
      <c r="A297" s="32" t="s">
        <v>186</v>
      </c>
      <c r="B297" s="32" t="s">
        <v>176</v>
      </c>
      <c r="C297" s="32" t="s">
        <v>154</v>
      </c>
      <c r="D297" s="32">
        <v>27.22005592</v>
      </c>
      <c r="E297" s="32">
        <v>27.669111999999998</v>
      </c>
      <c r="F297" s="32" t="s">
        <v>173</v>
      </c>
      <c r="G297" s="32">
        <v>5.8388</v>
      </c>
      <c r="H297" s="32">
        <v>7.2257220197887104</v>
      </c>
      <c r="I297" s="32" t="s">
        <v>174</v>
      </c>
      <c r="J297" s="32">
        <v>3</v>
      </c>
      <c r="K297" s="32" t="s">
        <v>183</v>
      </c>
      <c r="L297" s="18">
        <f t="shared" si="4"/>
        <v>999999999</v>
      </c>
    </row>
    <row r="298" spans="1:12" ht="15" customHeight="1" x14ac:dyDescent="0.25">
      <c r="A298" s="32" t="s">
        <v>186</v>
      </c>
      <c r="B298" s="32" t="s">
        <v>176</v>
      </c>
      <c r="C298" s="32" t="s">
        <v>154</v>
      </c>
      <c r="D298" s="32">
        <v>27.673647920000001</v>
      </c>
      <c r="E298" s="32">
        <v>28.122703999999999</v>
      </c>
      <c r="F298" s="32" t="s">
        <v>173</v>
      </c>
      <c r="G298" s="32">
        <v>5.8760000000000003</v>
      </c>
      <c r="H298" s="32">
        <v>3.3077340482195399</v>
      </c>
      <c r="I298" s="32" t="s">
        <v>174</v>
      </c>
      <c r="J298" s="32">
        <v>3</v>
      </c>
      <c r="K298" s="32" t="s">
        <v>183</v>
      </c>
      <c r="L298" s="18">
        <f t="shared" si="4"/>
        <v>999999999</v>
      </c>
    </row>
    <row r="299" spans="1:12" ht="15" customHeight="1" x14ac:dyDescent="0.25">
      <c r="A299" s="32" t="s">
        <v>186</v>
      </c>
      <c r="B299" s="32" t="s">
        <v>176</v>
      </c>
      <c r="C299" s="32" t="s">
        <v>154</v>
      </c>
      <c r="D299" s="32">
        <v>28.127239920000001</v>
      </c>
      <c r="E299" s="32">
        <v>28.576295999999999</v>
      </c>
      <c r="F299" s="32" t="s">
        <v>173</v>
      </c>
      <c r="G299" s="32">
        <v>5.9131999999999998</v>
      </c>
      <c r="H299" s="32">
        <v>9.3897460766503809</v>
      </c>
      <c r="I299" s="32" t="s">
        <v>174</v>
      </c>
      <c r="J299" s="32">
        <v>3</v>
      </c>
      <c r="K299" s="32" t="s">
        <v>183</v>
      </c>
      <c r="L299" s="18">
        <f t="shared" si="4"/>
        <v>999999999</v>
      </c>
    </row>
    <row r="300" spans="1:12" ht="15" customHeight="1" x14ac:dyDescent="0.25">
      <c r="A300" s="32" t="s">
        <v>186</v>
      </c>
      <c r="B300" s="32" t="s">
        <v>176</v>
      </c>
      <c r="C300" s="32" t="s">
        <v>154</v>
      </c>
      <c r="D300" s="32">
        <v>28.580831920000001</v>
      </c>
      <c r="E300" s="32">
        <v>29.029888</v>
      </c>
      <c r="F300" s="32" t="s">
        <v>173</v>
      </c>
      <c r="G300" s="32">
        <v>5.9504000000000001</v>
      </c>
      <c r="H300" s="32">
        <v>5.4717581050812196</v>
      </c>
      <c r="I300" s="32" t="s">
        <v>174</v>
      </c>
      <c r="J300" s="32">
        <v>3</v>
      </c>
      <c r="K300" s="32" t="s">
        <v>183</v>
      </c>
      <c r="L300" s="18">
        <f t="shared" si="4"/>
        <v>999999999</v>
      </c>
    </row>
    <row r="301" spans="1:12" ht="15" customHeight="1" x14ac:dyDescent="0.25">
      <c r="A301" s="32" t="s">
        <v>186</v>
      </c>
      <c r="B301" s="32" t="s">
        <v>176</v>
      </c>
      <c r="C301" s="32" t="s">
        <v>154</v>
      </c>
      <c r="D301" s="32">
        <v>29.034423919999998</v>
      </c>
      <c r="E301" s="32">
        <v>29.48348</v>
      </c>
      <c r="F301" s="32" t="s">
        <v>173</v>
      </c>
      <c r="G301" s="32">
        <v>5.9875999999999996</v>
      </c>
      <c r="H301" s="32">
        <v>6.5537701335120602</v>
      </c>
      <c r="I301" s="32" t="s">
        <v>174</v>
      </c>
      <c r="J301" s="32">
        <v>3</v>
      </c>
      <c r="K301" s="32" t="s">
        <v>183</v>
      </c>
      <c r="L301" s="18">
        <f t="shared" si="4"/>
        <v>999999999</v>
      </c>
    </row>
    <row r="302" spans="1:12" ht="15" customHeight="1" x14ac:dyDescent="0.25">
      <c r="A302" s="32" t="s">
        <v>186</v>
      </c>
      <c r="B302" s="32" t="s">
        <v>176</v>
      </c>
      <c r="C302" s="32" t="s">
        <v>154</v>
      </c>
      <c r="D302" s="32">
        <v>29.488015919999999</v>
      </c>
      <c r="E302" s="32">
        <v>29.937072000000001</v>
      </c>
      <c r="F302" s="32" t="s">
        <v>173</v>
      </c>
      <c r="G302" s="32">
        <v>7.0247999999999999</v>
      </c>
      <c r="H302" s="32">
        <v>4.6357821619428901</v>
      </c>
      <c r="I302" s="32" t="s">
        <v>174</v>
      </c>
      <c r="J302" s="32">
        <v>3</v>
      </c>
      <c r="K302" s="32" t="s">
        <v>183</v>
      </c>
      <c r="L302" s="18">
        <f t="shared" si="4"/>
        <v>999999999</v>
      </c>
    </row>
    <row r="303" spans="1:12" ht="15" customHeight="1" x14ac:dyDescent="0.25">
      <c r="A303" s="32" t="s">
        <v>186</v>
      </c>
      <c r="B303" s="32" t="s">
        <v>176</v>
      </c>
      <c r="C303" s="32" t="s">
        <v>154</v>
      </c>
      <c r="D303" s="32">
        <v>29.941607919999999</v>
      </c>
      <c r="E303" s="32">
        <v>30.390664000000001</v>
      </c>
      <c r="F303" s="32" t="s">
        <v>173</v>
      </c>
      <c r="G303" s="32">
        <v>7.0620000000000003</v>
      </c>
      <c r="H303" s="32">
        <v>5.7177941903737297</v>
      </c>
      <c r="I303" s="32" t="s">
        <v>174</v>
      </c>
      <c r="J303" s="32">
        <v>3</v>
      </c>
      <c r="K303" s="32" t="s">
        <v>183</v>
      </c>
      <c r="L303" s="18">
        <f t="shared" si="4"/>
        <v>999999999</v>
      </c>
    </row>
    <row r="304" spans="1:12" ht="15" customHeight="1" x14ac:dyDescent="0.25">
      <c r="A304" s="32" t="s">
        <v>186</v>
      </c>
      <c r="B304" s="32" t="s">
        <v>176</v>
      </c>
      <c r="C304" s="32" t="s">
        <v>154</v>
      </c>
      <c r="D304" s="32">
        <v>30.39519992</v>
      </c>
      <c r="E304" s="32">
        <v>30.844256000000001</v>
      </c>
      <c r="F304" s="32" t="s">
        <v>173</v>
      </c>
      <c r="G304" s="32">
        <v>7.0991999999999997</v>
      </c>
      <c r="H304" s="32">
        <v>6.7998062188045596</v>
      </c>
      <c r="I304" s="32" t="s">
        <v>174</v>
      </c>
      <c r="J304" s="32">
        <v>3</v>
      </c>
      <c r="K304" s="32" t="s">
        <v>183</v>
      </c>
      <c r="L304" s="18">
        <f t="shared" si="4"/>
        <v>999999999</v>
      </c>
    </row>
    <row r="305" spans="1:12" ht="15" customHeight="1" x14ac:dyDescent="0.25">
      <c r="A305" s="32" t="s">
        <v>186</v>
      </c>
      <c r="B305" s="32" t="s">
        <v>176</v>
      </c>
      <c r="C305" s="32" t="s">
        <v>154</v>
      </c>
      <c r="D305" s="32">
        <v>30.84879192</v>
      </c>
      <c r="E305" s="32">
        <v>31.297847999999998</v>
      </c>
      <c r="F305" s="32" t="s">
        <v>173</v>
      </c>
      <c r="G305" s="32">
        <v>7.1364000000000001</v>
      </c>
      <c r="H305" s="32">
        <v>7.8818182472354001</v>
      </c>
      <c r="I305" s="32" t="s">
        <v>174</v>
      </c>
      <c r="J305" s="32">
        <v>3</v>
      </c>
      <c r="K305" s="32" t="s">
        <v>183</v>
      </c>
      <c r="L305" s="18">
        <f t="shared" si="4"/>
        <v>999999999</v>
      </c>
    </row>
    <row r="306" spans="1:12" ht="15" customHeight="1" x14ac:dyDescent="0.25">
      <c r="A306" s="32" t="s">
        <v>186</v>
      </c>
      <c r="B306" s="32" t="s">
        <v>176</v>
      </c>
      <c r="C306" s="32" t="s">
        <v>154</v>
      </c>
      <c r="D306" s="32">
        <v>31.30238392</v>
      </c>
      <c r="E306" s="32">
        <v>31.751439999999999</v>
      </c>
      <c r="F306" s="32" t="s">
        <v>173</v>
      </c>
      <c r="G306" s="32">
        <v>7.1736000000000004</v>
      </c>
      <c r="H306" s="32">
        <v>8.9638302756662398</v>
      </c>
      <c r="I306" s="32" t="s">
        <v>174</v>
      </c>
      <c r="J306" s="32">
        <v>3</v>
      </c>
      <c r="K306" s="32" t="s">
        <v>183</v>
      </c>
      <c r="L306" s="18">
        <f t="shared" si="4"/>
        <v>999999999</v>
      </c>
    </row>
    <row r="307" spans="1:12" ht="15" customHeight="1" x14ac:dyDescent="0.25">
      <c r="A307" s="32" t="s">
        <v>186</v>
      </c>
      <c r="B307" s="32" t="s">
        <v>176</v>
      </c>
      <c r="C307" s="32" t="s">
        <v>154</v>
      </c>
      <c r="D307" s="32">
        <v>31.755975920000001</v>
      </c>
      <c r="E307" s="32">
        <v>32.205032000000003</v>
      </c>
      <c r="F307" s="32" t="s">
        <v>173</v>
      </c>
      <c r="G307" s="32">
        <v>7.2064000000000004</v>
      </c>
      <c r="H307" s="32">
        <v>9.0361419566482706</v>
      </c>
      <c r="I307" s="32" t="s">
        <v>174</v>
      </c>
      <c r="J307" s="32">
        <v>3</v>
      </c>
      <c r="K307" s="32" t="s">
        <v>183</v>
      </c>
      <c r="L307" s="18">
        <f t="shared" si="4"/>
        <v>999999999</v>
      </c>
    </row>
    <row r="308" spans="1:12" ht="15" customHeight="1" x14ac:dyDescent="0.25">
      <c r="A308" s="32" t="s">
        <v>186</v>
      </c>
      <c r="B308" s="32" t="s">
        <v>176</v>
      </c>
      <c r="C308" s="32" t="s">
        <v>154</v>
      </c>
      <c r="D308" s="32">
        <v>32.209567919999998</v>
      </c>
      <c r="E308" s="32">
        <v>32.658624000000003</v>
      </c>
      <c r="F308" s="32" t="s">
        <v>173</v>
      </c>
      <c r="G308" s="32">
        <v>7.2392000000000003</v>
      </c>
      <c r="H308" s="32">
        <v>8.1084536376302907</v>
      </c>
      <c r="I308" s="32" t="s">
        <v>174</v>
      </c>
      <c r="J308" s="32">
        <v>3</v>
      </c>
      <c r="K308" s="32" t="s">
        <v>183</v>
      </c>
      <c r="L308" s="18">
        <f t="shared" si="4"/>
        <v>999999999</v>
      </c>
    </row>
    <row r="309" spans="1:12" ht="15" customHeight="1" x14ac:dyDescent="0.25">
      <c r="A309" s="32" t="s">
        <v>186</v>
      </c>
      <c r="B309" s="32" t="s">
        <v>176</v>
      </c>
      <c r="C309" s="32" t="s">
        <v>154</v>
      </c>
      <c r="D309" s="32">
        <v>32.663159919999998</v>
      </c>
      <c r="E309" s="32">
        <v>33.112215999999997</v>
      </c>
      <c r="F309" s="32" t="s">
        <v>173</v>
      </c>
      <c r="G309" s="32">
        <v>7.2720000000000002</v>
      </c>
      <c r="H309" s="32">
        <v>7.1807653186123197</v>
      </c>
      <c r="I309" s="32" t="s">
        <v>174</v>
      </c>
      <c r="J309" s="32">
        <v>3</v>
      </c>
      <c r="K309" s="32" t="s">
        <v>183</v>
      </c>
      <c r="L309" s="18">
        <f t="shared" si="4"/>
        <v>999999999</v>
      </c>
    </row>
    <row r="310" spans="1:12" ht="15" customHeight="1" x14ac:dyDescent="0.25">
      <c r="A310" s="32" t="s">
        <v>186</v>
      </c>
      <c r="B310" s="32" t="s">
        <v>176</v>
      </c>
      <c r="C310" s="32" t="s">
        <v>154</v>
      </c>
      <c r="D310" s="32">
        <v>33.116751919999999</v>
      </c>
      <c r="E310" s="32">
        <v>33.565807999999997</v>
      </c>
      <c r="F310" s="32" t="s">
        <v>173</v>
      </c>
      <c r="G310" s="32">
        <v>7.3048000000000002</v>
      </c>
      <c r="H310" s="32">
        <v>7.2530769995943496</v>
      </c>
      <c r="I310" s="32" t="s">
        <v>174</v>
      </c>
      <c r="J310" s="32">
        <v>3</v>
      </c>
      <c r="K310" s="32" t="s">
        <v>183</v>
      </c>
      <c r="L310" s="18">
        <f t="shared" si="4"/>
        <v>999999999</v>
      </c>
    </row>
    <row r="311" spans="1:12" ht="15" customHeight="1" x14ac:dyDescent="0.25">
      <c r="A311" s="32" t="s">
        <v>186</v>
      </c>
      <c r="B311" s="32" t="s">
        <v>176</v>
      </c>
      <c r="C311" s="32" t="s">
        <v>154</v>
      </c>
      <c r="D311" s="32">
        <v>33.570343919999999</v>
      </c>
      <c r="E311" s="32">
        <v>34.019399999999997</v>
      </c>
      <c r="F311" s="32" t="s">
        <v>173</v>
      </c>
      <c r="G311" s="32">
        <v>7.3376000000000001</v>
      </c>
      <c r="H311" s="32">
        <v>8.3253886805763795</v>
      </c>
      <c r="I311" s="32" t="s">
        <v>174</v>
      </c>
      <c r="J311" s="32">
        <v>3</v>
      </c>
      <c r="K311" s="32" t="s">
        <v>183</v>
      </c>
      <c r="L311" s="18">
        <f t="shared" si="4"/>
        <v>999999999</v>
      </c>
    </row>
    <row r="312" spans="1:12" ht="15" customHeight="1" x14ac:dyDescent="0.25">
      <c r="A312" s="32" t="s">
        <v>186</v>
      </c>
      <c r="B312" s="32" t="s">
        <v>176</v>
      </c>
      <c r="C312" s="32" t="s">
        <v>154</v>
      </c>
      <c r="D312" s="32">
        <v>34.02393592</v>
      </c>
      <c r="E312" s="32">
        <v>34.472991999999998</v>
      </c>
      <c r="F312" s="32" t="s">
        <v>173</v>
      </c>
      <c r="G312" s="32">
        <v>7.3704000000000001</v>
      </c>
      <c r="H312" s="32">
        <v>6.3977003615584103</v>
      </c>
      <c r="I312" s="32" t="s">
        <v>174</v>
      </c>
      <c r="J312" s="32">
        <v>3</v>
      </c>
      <c r="K312" s="32" t="s">
        <v>183</v>
      </c>
      <c r="L312" s="18">
        <f t="shared" si="4"/>
        <v>999999999</v>
      </c>
    </row>
    <row r="313" spans="1:12" ht="15" customHeight="1" x14ac:dyDescent="0.25">
      <c r="A313" s="32" t="s">
        <v>186</v>
      </c>
      <c r="B313" s="32" t="s">
        <v>176</v>
      </c>
      <c r="C313" s="32" t="s">
        <v>154</v>
      </c>
      <c r="D313" s="32">
        <v>34.47752792</v>
      </c>
      <c r="E313" s="32">
        <v>34.926583999999998</v>
      </c>
      <c r="F313" s="32" t="s">
        <v>173</v>
      </c>
      <c r="G313" s="32">
        <v>7.4032</v>
      </c>
      <c r="H313" s="32">
        <v>4.4700120425404304</v>
      </c>
      <c r="I313" s="32" t="s">
        <v>174</v>
      </c>
      <c r="J313" s="32">
        <v>3</v>
      </c>
      <c r="K313" s="32" t="s">
        <v>183</v>
      </c>
      <c r="L313" s="18">
        <f t="shared" si="4"/>
        <v>999999999</v>
      </c>
    </row>
    <row r="314" spans="1:12" ht="15" customHeight="1" x14ac:dyDescent="0.25">
      <c r="A314" s="32" t="s">
        <v>186</v>
      </c>
      <c r="B314" s="32" t="s">
        <v>176</v>
      </c>
      <c r="C314" s="32" t="s">
        <v>154</v>
      </c>
      <c r="D314" s="32">
        <v>34.93111992</v>
      </c>
      <c r="E314" s="32">
        <v>35.380175999999999</v>
      </c>
      <c r="F314" s="32" t="s">
        <v>173</v>
      </c>
      <c r="G314" s="32">
        <v>7.4359999999999999</v>
      </c>
      <c r="H314" s="32">
        <v>8.5423237235224594</v>
      </c>
      <c r="I314" s="32" t="s">
        <v>174</v>
      </c>
      <c r="J314" s="32">
        <v>3</v>
      </c>
      <c r="K314" s="32" t="s">
        <v>183</v>
      </c>
      <c r="L314" s="18">
        <f t="shared" si="4"/>
        <v>999999999</v>
      </c>
    </row>
    <row r="315" spans="1:12" ht="15" customHeight="1" x14ac:dyDescent="0.25">
      <c r="A315" s="32" t="s">
        <v>186</v>
      </c>
      <c r="B315" s="32" t="s">
        <v>176</v>
      </c>
      <c r="C315" s="32" t="s">
        <v>154</v>
      </c>
      <c r="D315" s="32">
        <v>35.384711920000001</v>
      </c>
      <c r="E315" s="32">
        <v>35.833767999999999</v>
      </c>
      <c r="F315" s="32" t="s">
        <v>173</v>
      </c>
      <c r="G315" s="32">
        <v>7.4687999999999999</v>
      </c>
      <c r="H315" s="32">
        <v>5.6146354045044902</v>
      </c>
      <c r="I315" s="32" t="s">
        <v>174</v>
      </c>
      <c r="J315" s="32">
        <v>3</v>
      </c>
      <c r="K315" s="32" t="s">
        <v>183</v>
      </c>
      <c r="L315" s="18">
        <f t="shared" si="4"/>
        <v>999999999</v>
      </c>
    </row>
    <row r="316" spans="1:12" ht="15" customHeight="1" x14ac:dyDescent="0.25">
      <c r="A316" s="32" t="s">
        <v>186</v>
      </c>
      <c r="B316" s="32" t="s">
        <v>176</v>
      </c>
      <c r="C316" s="32" t="s">
        <v>154</v>
      </c>
      <c r="D316" s="32">
        <v>35.838303920000001</v>
      </c>
      <c r="E316" s="32">
        <v>36.28736</v>
      </c>
      <c r="F316" s="32" t="s">
        <v>173</v>
      </c>
      <c r="G316" s="32">
        <v>7.5015999999999998</v>
      </c>
      <c r="H316" s="32">
        <v>6.6869470854865201</v>
      </c>
      <c r="I316" s="32" t="s">
        <v>174</v>
      </c>
      <c r="J316" s="32">
        <v>3</v>
      </c>
      <c r="K316" s="32" t="s">
        <v>183</v>
      </c>
      <c r="L316" s="18">
        <f t="shared" si="4"/>
        <v>999999999</v>
      </c>
    </row>
    <row r="317" spans="1:12" ht="15" customHeight="1" x14ac:dyDescent="0.25">
      <c r="A317" s="32" t="s">
        <v>186</v>
      </c>
      <c r="B317" s="32" t="s">
        <v>176</v>
      </c>
      <c r="C317" s="32" t="s">
        <v>154</v>
      </c>
      <c r="D317" s="32">
        <v>36.291895920000002</v>
      </c>
      <c r="E317" s="32">
        <v>36.740952</v>
      </c>
      <c r="F317" s="32" t="s">
        <v>173</v>
      </c>
      <c r="G317" s="32">
        <v>7.5343999999999998</v>
      </c>
      <c r="H317" s="32">
        <v>5.75925876646855</v>
      </c>
      <c r="I317" s="32" t="s">
        <v>174</v>
      </c>
      <c r="J317" s="32">
        <v>3</v>
      </c>
      <c r="K317" s="32" t="s">
        <v>183</v>
      </c>
      <c r="L317" s="18">
        <f t="shared" si="4"/>
        <v>999999999</v>
      </c>
    </row>
    <row r="318" spans="1:12" ht="15" customHeight="1" x14ac:dyDescent="0.25">
      <c r="A318" s="32" t="s">
        <v>186</v>
      </c>
      <c r="B318" s="32" t="s">
        <v>176</v>
      </c>
      <c r="C318" s="32" t="s">
        <v>154</v>
      </c>
      <c r="D318" s="32">
        <v>36.745487920000002</v>
      </c>
      <c r="E318" s="32">
        <v>37.194544</v>
      </c>
      <c r="F318" s="32" t="s">
        <v>173</v>
      </c>
      <c r="G318" s="32">
        <v>7.5671999999999997</v>
      </c>
      <c r="H318" s="32">
        <v>10.8315704474506</v>
      </c>
      <c r="I318" s="32" t="s">
        <v>174</v>
      </c>
      <c r="J318" s="32">
        <v>3</v>
      </c>
      <c r="K318" s="32" t="s">
        <v>183</v>
      </c>
      <c r="L318" s="18">
        <f t="shared" si="4"/>
        <v>999999999</v>
      </c>
    </row>
    <row r="319" spans="1:12" ht="15" customHeight="1" x14ac:dyDescent="0.25">
      <c r="A319" s="32" t="s">
        <v>186</v>
      </c>
      <c r="B319" s="32" t="s">
        <v>176</v>
      </c>
      <c r="C319" s="32" t="s">
        <v>154</v>
      </c>
      <c r="D319" s="32">
        <v>37.199079920000003</v>
      </c>
      <c r="E319" s="32">
        <v>37.648136000000001</v>
      </c>
      <c r="F319" s="32" t="s">
        <v>173</v>
      </c>
      <c r="G319" s="32">
        <v>7.6</v>
      </c>
      <c r="H319" s="32">
        <v>4.9038821284326</v>
      </c>
      <c r="I319" s="32" t="s">
        <v>174</v>
      </c>
      <c r="J319" s="32">
        <v>3</v>
      </c>
      <c r="K319" s="32" t="s">
        <v>183</v>
      </c>
      <c r="L319" s="18">
        <f t="shared" si="4"/>
        <v>999999999</v>
      </c>
    </row>
    <row r="320" spans="1:12" ht="15" customHeight="1" x14ac:dyDescent="0.25">
      <c r="A320" s="32" t="s">
        <v>186</v>
      </c>
      <c r="B320" s="32" t="s">
        <v>176</v>
      </c>
      <c r="C320" s="32" t="s">
        <v>154</v>
      </c>
      <c r="D320" s="32">
        <v>37.652671920000003</v>
      </c>
      <c r="E320" s="32">
        <v>38.101728000000001</v>
      </c>
      <c r="F320" s="32" t="s">
        <v>173</v>
      </c>
      <c r="G320" s="32">
        <v>7.6327999999999996</v>
      </c>
      <c r="H320" s="32">
        <v>10.9761938094146</v>
      </c>
      <c r="I320" s="32" t="s">
        <v>174</v>
      </c>
      <c r="J320" s="32">
        <v>3</v>
      </c>
      <c r="K320" s="32" t="s">
        <v>183</v>
      </c>
      <c r="L320" s="18">
        <f t="shared" si="4"/>
        <v>999999999</v>
      </c>
    </row>
    <row r="321" spans="1:12" ht="15" customHeight="1" x14ac:dyDescent="0.25">
      <c r="A321" s="32" t="s">
        <v>186</v>
      </c>
      <c r="B321" s="32" t="s">
        <v>176</v>
      </c>
      <c r="C321" s="32" t="s">
        <v>154</v>
      </c>
      <c r="D321" s="32">
        <v>38.106263920000004</v>
      </c>
      <c r="E321" s="32">
        <v>38.555320000000002</v>
      </c>
      <c r="F321" s="32" t="s">
        <v>173</v>
      </c>
      <c r="G321" s="32">
        <v>7.6656000000000004</v>
      </c>
      <c r="H321" s="32">
        <v>11.0485054903967</v>
      </c>
      <c r="I321" s="32" t="s">
        <v>174</v>
      </c>
      <c r="J321" s="32">
        <v>3</v>
      </c>
      <c r="K321" s="32" t="s">
        <v>183</v>
      </c>
      <c r="L321" s="18">
        <f t="shared" si="4"/>
        <v>999999999</v>
      </c>
    </row>
    <row r="322" spans="1:12" ht="15" customHeight="1" x14ac:dyDescent="0.25">
      <c r="A322" s="32" t="s">
        <v>186</v>
      </c>
      <c r="B322" s="32" t="s">
        <v>176</v>
      </c>
      <c r="C322" s="32" t="s">
        <v>154</v>
      </c>
      <c r="D322" s="32">
        <v>38.559855919999997</v>
      </c>
      <c r="E322" s="32">
        <v>39.008912000000002</v>
      </c>
      <c r="F322" s="32" t="s">
        <v>173</v>
      </c>
      <c r="G322" s="32">
        <v>7.6984000000000004</v>
      </c>
      <c r="H322" s="32">
        <v>5.1208171713786799</v>
      </c>
      <c r="I322" s="32" t="s">
        <v>174</v>
      </c>
      <c r="J322" s="32">
        <v>3</v>
      </c>
      <c r="K322" s="32" t="s">
        <v>183</v>
      </c>
      <c r="L322" s="18">
        <f t="shared" ref="L322:L385" si="5">IF(AND(B322=Quote_Port,D322&lt;=Quote_Weight,Quote_Weight&lt;=E322,OR(Quote_2Day="No",J322&lt;=2)),MAX(G322,Quote_Weight*H322)*Quote_USDINR,999999999)</f>
        <v>999999999</v>
      </c>
    </row>
    <row r="323" spans="1:12" ht="15" customHeight="1" x14ac:dyDescent="0.25">
      <c r="A323" s="32" t="s">
        <v>186</v>
      </c>
      <c r="B323" s="32" t="s">
        <v>176</v>
      </c>
      <c r="C323" s="32" t="s">
        <v>154</v>
      </c>
      <c r="D323" s="32">
        <v>39.013447919999997</v>
      </c>
      <c r="E323" s="32">
        <v>39.462504000000003</v>
      </c>
      <c r="F323" s="32" t="s">
        <v>173</v>
      </c>
      <c r="G323" s="32">
        <v>7.7312000000000003</v>
      </c>
      <c r="H323" s="32">
        <v>5.1931288523607098</v>
      </c>
      <c r="I323" s="32" t="s">
        <v>174</v>
      </c>
      <c r="J323" s="32">
        <v>3</v>
      </c>
      <c r="K323" s="32" t="s">
        <v>183</v>
      </c>
      <c r="L323" s="18">
        <f t="shared" si="5"/>
        <v>999999999</v>
      </c>
    </row>
    <row r="324" spans="1:12" ht="15" customHeight="1" x14ac:dyDescent="0.25">
      <c r="A324" s="32" t="s">
        <v>186</v>
      </c>
      <c r="B324" s="32" t="s">
        <v>176</v>
      </c>
      <c r="C324" s="32" t="s">
        <v>154</v>
      </c>
      <c r="D324" s="32">
        <v>39.467039919999998</v>
      </c>
      <c r="E324" s="32">
        <v>39.916096000000003</v>
      </c>
      <c r="F324" s="32" t="s">
        <v>173</v>
      </c>
      <c r="G324" s="32">
        <v>7.7640000000000002</v>
      </c>
      <c r="H324" s="32">
        <v>9.2654405333427405</v>
      </c>
      <c r="I324" s="32" t="s">
        <v>174</v>
      </c>
      <c r="J324" s="32">
        <v>3</v>
      </c>
      <c r="K324" s="32" t="s">
        <v>183</v>
      </c>
      <c r="L324" s="18">
        <f t="shared" si="5"/>
        <v>999999999</v>
      </c>
    </row>
    <row r="325" spans="1:12" ht="15" customHeight="1" x14ac:dyDescent="0.25">
      <c r="A325" s="32" t="s">
        <v>186</v>
      </c>
      <c r="B325" s="32" t="s">
        <v>176</v>
      </c>
      <c r="C325" s="32" t="s">
        <v>154</v>
      </c>
      <c r="D325" s="32">
        <v>39.920631919999998</v>
      </c>
      <c r="E325" s="32">
        <v>40.369687999999996</v>
      </c>
      <c r="F325" s="32" t="s">
        <v>173</v>
      </c>
      <c r="G325" s="32">
        <v>7.7968000000000002</v>
      </c>
      <c r="H325" s="32">
        <v>4.3377522143247704</v>
      </c>
      <c r="I325" s="32" t="s">
        <v>174</v>
      </c>
      <c r="J325" s="32">
        <v>3</v>
      </c>
      <c r="K325" s="32" t="s">
        <v>183</v>
      </c>
      <c r="L325" s="18">
        <f t="shared" si="5"/>
        <v>999999999</v>
      </c>
    </row>
    <row r="326" spans="1:12" ht="15" customHeight="1" x14ac:dyDescent="0.25">
      <c r="A326" s="32" t="s">
        <v>186</v>
      </c>
      <c r="B326" s="32" t="s">
        <v>176</v>
      </c>
      <c r="C326" s="32" t="s">
        <v>154</v>
      </c>
      <c r="D326" s="32">
        <v>40.374223919999999</v>
      </c>
      <c r="E326" s="32">
        <v>40.823279999999997</v>
      </c>
      <c r="F326" s="32" t="s">
        <v>173</v>
      </c>
      <c r="G326" s="32">
        <v>7.8296000000000001</v>
      </c>
      <c r="H326" s="32">
        <v>5.4100638953068003</v>
      </c>
      <c r="I326" s="32" t="s">
        <v>174</v>
      </c>
      <c r="J326" s="32">
        <v>3</v>
      </c>
      <c r="K326" s="32" t="s">
        <v>183</v>
      </c>
      <c r="L326" s="18">
        <f t="shared" si="5"/>
        <v>999999999</v>
      </c>
    </row>
    <row r="327" spans="1:12" ht="15" customHeight="1" x14ac:dyDescent="0.25">
      <c r="A327" s="32" t="s">
        <v>186</v>
      </c>
      <c r="B327" s="32" t="s">
        <v>176</v>
      </c>
      <c r="C327" s="32" t="s">
        <v>154</v>
      </c>
      <c r="D327" s="32">
        <v>40.827815919999999</v>
      </c>
      <c r="E327" s="32">
        <v>41.276871999999997</v>
      </c>
      <c r="F327" s="32" t="s">
        <v>173</v>
      </c>
      <c r="G327" s="32">
        <v>7.8624000000000001</v>
      </c>
      <c r="H327" s="32">
        <v>10.482375576288799</v>
      </c>
      <c r="I327" s="32" t="s">
        <v>174</v>
      </c>
      <c r="J327" s="32">
        <v>3</v>
      </c>
      <c r="K327" s="32" t="s">
        <v>183</v>
      </c>
      <c r="L327" s="18">
        <f t="shared" si="5"/>
        <v>999999999</v>
      </c>
    </row>
    <row r="328" spans="1:12" ht="15" customHeight="1" x14ac:dyDescent="0.25">
      <c r="A328" s="32" t="s">
        <v>186</v>
      </c>
      <c r="B328" s="32" t="s">
        <v>176</v>
      </c>
      <c r="C328" s="32" t="s">
        <v>154</v>
      </c>
      <c r="D328" s="32">
        <v>41.281407919999999</v>
      </c>
      <c r="E328" s="32">
        <v>41.730463999999998</v>
      </c>
      <c r="F328" s="32" t="s">
        <v>173</v>
      </c>
      <c r="G328" s="32">
        <v>7.8952</v>
      </c>
      <c r="H328" s="32">
        <v>12.554687257270899</v>
      </c>
      <c r="I328" s="32" t="s">
        <v>174</v>
      </c>
      <c r="J328" s="32">
        <v>3</v>
      </c>
      <c r="K328" s="32" t="s">
        <v>183</v>
      </c>
      <c r="L328" s="18">
        <f t="shared" si="5"/>
        <v>999999999</v>
      </c>
    </row>
    <row r="329" spans="1:12" ht="15" customHeight="1" x14ac:dyDescent="0.25">
      <c r="A329" s="32" t="s">
        <v>186</v>
      </c>
      <c r="B329" s="32" t="s">
        <v>176</v>
      </c>
      <c r="C329" s="32" t="s">
        <v>154</v>
      </c>
      <c r="D329" s="32">
        <v>41.73499992</v>
      </c>
      <c r="E329" s="32">
        <v>42.184055999999998</v>
      </c>
      <c r="F329" s="32" t="s">
        <v>173</v>
      </c>
      <c r="G329" s="32">
        <v>7.9279999999999999</v>
      </c>
      <c r="H329" s="32">
        <v>12.6269989382529</v>
      </c>
      <c r="I329" s="32" t="s">
        <v>174</v>
      </c>
      <c r="J329" s="32">
        <v>3</v>
      </c>
      <c r="K329" s="32" t="s">
        <v>183</v>
      </c>
      <c r="L329" s="18">
        <f t="shared" si="5"/>
        <v>999999999</v>
      </c>
    </row>
    <row r="330" spans="1:12" ht="15" customHeight="1" x14ac:dyDescent="0.25">
      <c r="A330" s="32" t="s">
        <v>186</v>
      </c>
      <c r="B330" s="32" t="s">
        <v>176</v>
      </c>
      <c r="C330" s="32" t="s">
        <v>154</v>
      </c>
      <c r="D330" s="32">
        <v>42.18859192</v>
      </c>
      <c r="E330" s="32">
        <v>42.637647999999999</v>
      </c>
      <c r="F330" s="32" t="s">
        <v>173</v>
      </c>
      <c r="G330" s="32">
        <v>7.9607999999999999</v>
      </c>
      <c r="H330" s="32">
        <v>6.6993106192349101</v>
      </c>
      <c r="I330" s="32" t="s">
        <v>174</v>
      </c>
      <c r="J330" s="32">
        <v>3</v>
      </c>
      <c r="K330" s="32" t="s">
        <v>183</v>
      </c>
      <c r="L330" s="18">
        <f t="shared" si="5"/>
        <v>999999999</v>
      </c>
    </row>
    <row r="331" spans="1:12" ht="15" customHeight="1" x14ac:dyDescent="0.25">
      <c r="A331" s="32" t="s">
        <v>186</v>
      </c>
      <c r="B331" s="32" t="s">
        <v>176</v>
      </c>
      <c r="C331" s="32" t="s">
        <v>154</v>
      </c>
      <c r="D331" s="32">
        <v>42.642183920000001</v>
      </c>
      <c r="E331" s="32">
        <v>43.091239999999999</v>
      </c>
      <c r="F331" s="32" t="s">
        <v>173</v>
      </c>
      <c r="G331" s="32">
        <v>7.9935999999999998</v>
      </c>
      <c r="H331" s="32">
        <v>8.7716223002169293</v>
      </c>
      <c r="I331" s="32" t="s">
        <v>174</v>
      </c>
      <c r="J331" s="32">
        <v>3</v>
      </c>
      <c r="K331" s="32" t="s">
        <v>183</v>
      </c>
      <c r="L331" s="18">
        <f t="shared" si="5"/>
        <v>999999999</v>
      </c>
    </row>
    <row r="332" spans="1:12" ht="15" customHeight="1" x14ac:dyDescent="0.25">
      <c r="A332" s="32" t="s">
        <v>186</v>
      </c>
      <c r="B332" s="32" t="s">
        <v>176</v>
      </c>
      <c r="C332" s="32" t="s">
        <v>154</v>
      </c>
      <c r="D332" s="32">
        <v>43.095775920000001</v>
      </c>
      <c r="E332" s="32">
        <v>43.544832</v>
      </c>
      <c r="F332" s="32" t="s">
        <v>173</v>
      </c>
      <c r="G332" s="32">
        <v>9.0264000000000006</v>
      </c>
      <c r="H332" s="32">
        <v>4.8439339811989601</v>
      </c>
      <c r="I332" s="32" t="s">
        <v>174</v>
      </c>
      <c r="J332" s="32">
        <v>3</v>
      </c>
      <c r="K332" s="32" t="s">
        <v>183</v>
      </c>
      <c r="L332" s="18">
        <f t="shared" si="5"/>
        <v>999999999</v>
      </c>
    </row>
    <row r="333" spans="1:12" ht="15" customHeight="1" x14ac:dyDescent="0.25">
      <c r="A333" s="32" t="s">
        <v>186</v>
      </c>
      <c r="B333" s="32" t="s">
        <v>176</v>
      </c>
      <c r="C333" s="32" t="s">
        <v>154</v>
      </c>
      <c r="D333" s="32">
        <v>43.549367920000002</v>
      </c>
      <c r="E333" s="32">
        <v>43.998424</v>
      </c>
      <c r="F333" s="32" t="s">
        <v>173</v>
      </c>
      <c r="G333" s="32">
        <v>9.0592000000000006</v>
      </c>
      <c r="H333" s="32">
        <v>5.91624566218099</v>
      </c>
      <c r="I333" s="32" t="s">
        <v>174</v>
      </c>
      <c r="J333" s="32">
        <v>3</v>
      </c>
      <c r="K333" s="32" t="s">
        <v>183</v>
      </c>
      <c r="L333" s="18">
        <f t="shared" si="5"/>
        <v>999999999</v>
      </c>
    </row>
    <row r="334" spans="1:12" ht="15" customHeight="1" x14ac:dyDescent="0.25">
      <c r="A334" s="32" t="s">
        <v>186</v>
      </c>
      <c r="B334" s="32" t="s">
        <v>176</v>
      </c>
      <c r="C334" s="32" t="s">
        <v>154</v>
      </c>
      <c r="D334" s="32">
        <v>44.002959920000002</v>
      </c>
      <c r="E334" s="32">
        <v>44.452016</v>
      </c>
      <c r="F334" s="32" t="s">
        <v>173</v>
      </c>
      <c r="G334" s="32">
        <v>9.0920000000000005</v>
      </c>
      <c r="H334" s="32">
        <v>10.988557343163</v>
      </c>
      <c r="I334" s="32" t="s">
        <v>174</v>
      </c>
      <c r="J334" s="32">
        <v>3</v>
      </c>
      <c r="K334" s="32" t="s">
        <v>183</v>
      </c>
      <c r="L334" s="18">
        <f t="shared" si="5"/>
        <v>999999999</v>
      </c>
    </row>
    <row r="335" spans="1:12" ht="15" customHeight="1" x14ac:dyDescent="0.25">
      <c r="A335" s="32" t="s">
        <v>186</v>
      </c>
      <c r="B335" s="32" t="s">
        <v>176</v>
      </c>
      <c r="C335" s="32" t="s">
        <v>154</v>
      </c>
      <c r="D335" s="32">
        <v>44.456551920000003</v>
      </c>
      <c r="E335" s="32">
        <v>44.905608000000001</v>
      </c>
      <c r="F335" s="32" t="s">
        <v>173</v>
      </c>
      <c r="G335" s="32">
        <v>9.1248000000000005</v>
      </c>
      <c r="H335" s="32">
        <v>11.060869024144999</v>
      </c>
      <c r="I335" s="32" t="s">
        <v>174</v>
      </c>
      <c r="J335" s="32">
        <v>3</v>
      </c>
      <c r="K335" s="32" t="s">
        <v>183</v>
      </c>
      <c r="L335" s="18">
        <f t="shared" si="5"/>
        <v>999999999</v>
      </c>
    </row>
    <row r="336" spans="1:12" ht="15" customHeight="1" x14ac:dyDescent="0.25">
      <c r="A336" s="32" t="s">
        <v>186</v>
      </c>
      <c r="B336" s="32" t="s">
        <v>176</v>
      </c>
      <c r="C336" s="32" t="s">
        <v>154</v>
      </c>
      <c r="D336" s="32">
        <v>44.910143920000003</v>
      </c>
      <c r="E336" s="32">
        <v>45.359200000000001</v>
      </c>
      <c r="F336" s="32" t="s">
        <v>173</v>
      </c>
      <c r="G336" s="32">
        <v>9.1576000000000004</v>
      </c>
      <c r="H336" s="32">
        <v>12.133180705127099</v>
      </c>
      <c r="I336" s="32" t="s">
        <v>174</v>
      </c>
      <c r="J336" s="32">
        <v>3</v>
      </c>
      <c r="K336" s="32" t="s">
        <v>183</v>
      </c>
      <c r="L336" s="18">
        <f t="shared" si="5"/>
        <v>999999999</v>
      </c>
    </row>
    <row r="337" spans="1:12" ht="15" customHeight="1" x14ac:dyDescent="0.25">
      <c r="A337" s="32" t="s">
        <v>186</v>
      </c>
      <c r="B337" s="32" t="s">
        <v>176</v>
      </c>
      <c r="C337" s="32" t="s">
        <v>154</v>
      </c>
      <c r="D337" s="32">
        <v>45.363735920000003</v>
      </c>
      <c r="E337" s="32">
        <v>45.812792000000002</v>
      </c>
      <c r="F337" s="32" t="s">
        <v>173</v>
      </c>
      <c r="G337" s="32">
        <v>9.1980000000000004</v>
      </c>
      <c r="H337" s="32">
        <v>11.2222475317025</v>
      </c>
      <c r="I337" s="32" t="s">
        <v>174</v>
      </c>
      <c r="J337" s="32">
        <v>3</v>
      </c>
      <c r="K337" s="32" t="s">
        <v>183</v>
      </c>
      <c r="L337" s="18">
        <f t="shared" si="5"/>
        <v>999999999</v>
      </c>
    </row>
    <row r="338" spans="1:12" ht="15" customHeight="1" x14ac:dyDescent="0.25">
      <c r="A338" s="32" t="s">
        <v>186</v>
      </c>
      <c r="B338" s="32" t="s">
        <v>176</v>
      </c>
      <c r="C338" s="32" t="s">
        <v>154</v>
      </c>
      <c r="D338" s="32">
        <v>45.817327919999997</v>
      </c>
      <c r="E338" s="32">
        <v>46.266384000000002</v>
      </c>
      <c r="F338" s="32" t="s">
        <v>173</v>
      </c>
      <c r="G338" s="32">
        <v>9.2384000000000004</v>
      </c>
      <c r="H338" s="32">
        <v>8.3113143582779205</v>
      </c>
      <c r="I338" s="32" t="s">
        <v>174</v>
      </c>
      <c r="J338" s="32">
        <v>3</v>
      </c>
      <c r="K338" s="32" t="s">
        <v>183</v>
      </c>
      <c r="L338" s="18">
        <f t="shared" si="5"/>
        <v>999999999</v>
      </c>
    </row>
    <row r="339" spans="1:12" ht="15" customHeight="1" x14ac:dyDescent="0.25">
      <c r="A339" s="32" t="s">
        <v>186</v>
      </c>
      <c r="B339" s="32" t="s">
        <v>176</v>
      </c>
      <c r="C339" s="32" t="s">
        <v>154</v>
      </c>
      <c r="D339" s="32">
        <v>46.270919919999997</v>
      </c>
      <c r="E339" s="32">
        <v>46.719976000000003</v>
      </c>
      <c r="F339" s="32" t="s">
        <v>173</v>
      </c>
      <c r="G339" s="32">
        <v>9.2788000000000004</v>
      </c>
      <c r="H339" s="32">
        <v>12.4003811848533</v>
      </c>
      <c r="I339" s="32" t="s">
        <v>174</v>
      </c>
      <c r="J339" s="32">
        <v>3</v>
      </c>
      <c r="K339" s="32" t="s">
        <v>183</v>
      </c>
      <c r="L339" s="18">
        <f t="shared" si="5"/>
        <v>999999999</v>
      </c>
    </row>
    <row r="340" spans="1:12" ht="15" customHeight="1" x14ac:dyDescent="0.25">
      <c r="A340" s="32" t="s">
        <v>186</v>
      </c>
      <c r="B340" s="32" t="s">
        <v>176</v>
      </c>
      <c r="C340" s="32" t="s">
        <v>154</v>
      </c>
      <c r="D340" s="32">
        <v>46.724511919999998</v>
      </c>
      <c r="E340" s="32">
        <v>47.173568000000003</v>
      </c>
      <c r="F340" s="32" t="s">
        <v>173</v>
      </c>
      <c r="G340" s="32">
        <v>9.3192000000000004</v>
      </c>
      <c r="H340" s="32">
        <v>11.4894480114288</v>
      </c>
      <c r="I340" s="32" t="s">
        <v>174</v>
      </c>
      <c r="J340" s="32">
        <v>3</v>
      </c>
      <c r="K340" s="32" t="s">
        <v>183</v>
      </c>
      <c r="L340" s="18">
        <f t="shared" si="5"/>
        <v>999999999</v>
      </c>
    </row>
    <row r="341" spans="1:12" ht="15" customHeight="1" x14ac:dyDescent="0.25">
      <c r="A341" s="32" t="s">
        <v>186</v>
      </c>
      <c r="B341" s="32" t="s">
        <v>176</v>
      </c>
      <c r="C341" s="32" t="s">
        <v>154</v>
      </c>
      <c r="D341" s="32">
        <v>47.178103919999998</v>
      </c>
      <c r="E341" s="32">
        <v>47.627160000000003</v>
      </c>
      <c r="F341" s="32" t="s">
        <v>173</v>
      </c>
      <c r="G341" s="32">
        <v>9.3596000000000004</v>
      </c>
      <c r="H341" s="32">
        <v>12.5785148380042</v>
      </c>
      <c r="I341" s="32" t="s">
        <v>174</v>
      </c>
      <c r="J341" s="32">
        <v>3</v>
      </c>
      <c r="K341" s="32" t="s">
        <v>183</v>
      </c>
      <c r="L341" s="18">
        <f t="shared" si="5"/>
        <v>999999999</v>
      </c>
    </row>
    <row r="342" spans="1:12" ht="15" customHeight="1" x14ac:dyDescent="0.25">
      <c r="A342" s="32" t="s">
        <v>186</v>
      </c>
      <c r="B342" s="32" t="s">
        <v>176</v>
      </c>
      <c r="C342" s="32" t="s">
        <v>154</v>
      </c>
      <c r="D342" s="32">
        <v>47.631695919999999</v>
      </c>
      <c r="E342" s="32">
        <v>48.080751999999997</v>
      </c>
      <c r="F342" s="32" t="s">
        <v>173</v>
      </c>
      <c r="G342" s="32">
        <v>9.4</v>
      </c>
      <c r="H342" s="32">
        <v>9.66758166457962</v>
      </c>
      <c r="I342" s="32" t="s">
        <v>174</v>
      </c>
      <c r="J342" s="32">
        <v>3</v>
      </c>
      <c r="K342" s="32" t="s">
        <v>183</v>
      </c>
      <c r="L342" s="18">
        <f t="shared" si="5"/>
        <v>999999999</v>
      </c>
    </row>
    <row r="343" spans="1:12" ht="15" customHeight="1" x14ac:dyDescent="0.25">
      <c r="A343" s="32" t="s">
        <v>186</v>
      </c>
      <c r="B343" s="32" t="s">
        <v>176</v>
      </c>
      <c r="C343" s="32" t="s">
        <v>154</v>
      </c>
      <c r="D343" s="32">
        <v>48.085287919999999</v>
      </c>
      <c r="E343" s="32">
        <v>48.534343999999997</v>
      </c>
      <c r="F343" s="32" t="s">
        <v>173</v>
      </c>
      <c r="G343" s="32">
        <v>9.4404000000000003</v>
      </c>
      <c r="H343" s="32">
        <v>13.756648491155</v>
      </c>
      <c r="I343" s="32" t="s">
        <v>174</v>
      </c>
      <c r="J343" s="32">
        <v>3</v>
      </c>
      <c r="K343" s="32" t="s">
        <v>183</v>
      </c>
      <c r="L343" s="18">
        <f t="shared" si="5"/>
        <v>999999999</v>
      </c>
    </row>
    <row r="344" spans="1:12" ht="15" customHeight="1" x14ac:dyDescent="0.25">
      <c r="A344" s="32" t="s">
        <v>186</v>
      </c>
      <c r="B344" s="32" t="s">
        <v>176</v>
      </c>
      <c r="C344" s="32" t="s">
        <v>154</v>
      </c>
      <c r="D344" s="32">
        <v>48.538879919999999</v>
      </c>
      <c r="E344" s="32">
        <v>48.987935999999998</v>
      </c>
      <c r="F344" s="32" t="s">
        <v>173</v>
      </c>
      <c r="G344" s="32">
        <v>9.4808000000000003</v>
      </c>
      <c r="H344" s="32">
        <v>5.8457153177304697</v>
      </c>
      <c r="I344" s="32" t="s">
        <v>174</v>
      </c>
      <c r="J344" s="32">
        <v>3</v>
      </c>
      <c r="K344" s="32" t="s">
        <v>183</v>
      </c>
      <c r="L344" s="18">
        <f t="shared" si="5"/>
        <v>999999999</v>
      </c>
    </row>
    <row r="345" spans="1:12" ht="15" customHeight="1" x14ac:dyDescent="0.25">
      <c r="A345" s="32" t="s">
        <v>186</v>
      </c>
      <c r="B345" s="32" t="s">
        <v>176</v>
      </c>
      <c r="C345" s="32" t="s">
        <v>154</v>
      </c>
      <c r="D345" s="32">
        <v>48.99247192</v>
      </c>
      <c r="E345" s="32">
        <v>49.441527999999998</v>
      </c>
      <c r="F345" s="32" t="s">
        <v>173</v>
      </c>
      <c r="G345" s="32">
        <v>9.5212000000000003</v>
      </c>
      <c r="H345" s="32">
        <v>5.9347821443058999</v>
      </c>
      <c r="I345" s="32" t="s">
        <v>174</v>
      </c>
      <c r="J345" s="32">
        <v>3</v>
      </c>
      <c r="K345" s="32" t="s">
        <v>183</v>
      </c>
      <c r="L345" s="18">
        <f t="shared" si="5"/>
        <v>999999999</v>
      </c>
    </row>
    <row r="346" spans="1:12" ht="15" customHeight="1" x14ac:dyDescent="0.25">
      <c r="A346" s="32" t="s">
        <v>186</v>
      </c>
      <c r="B346" s="32" t="s">
        <v>176</v>
      </c>
      <c r="C346" s="32" t="s">
        <v>154</v>
      </c>
      <c r="D346" s="32">
        <v>49.44606392</v>
      </c>
      <c r="E346" s="32">
        <v>49.895119999999999</v>
      </c>
      <c r="F346" s="32" t="s">
        <v>173</v>
      </c>
      <c r="G346" s="32">
        <v>9.5616000000000003</v>
      </c>
      <c r="H346" s="32">
        <v>15.0238489708813</v>
      </c>
      <c r="I346" s="32" t="s">
        <v>174</v>
      </c>
      <c r="J346" s="32">
        <v>3</v>
      </c>
      <c r="K346" s="32" t="s">
        <v>183</v>
      </c>
      <c r="L346" s="18">
        <f t="shared" si="5"/>
        <v>999999999</v>
      </c>
    </row>
    <row r="347" spans="1:12" ht="15" customHeight="1" x14ac:dyDescent="0.25">
      <c r="A347" s="32" t="s">
        <v>186</v>
      </c>
      <c r="B347" s="32" t="s">
        <v>176</v>
      </c>
      <c r="C347" s="32" t="s">
        <v>154</v>
      </c>
      <c r="D347" s="32">
        <v>49.899655920000001</v>
      </c>
      <c r="E347" s="32">
        <v>50.348711999999999</v>
      </c>
      <c r="F347" s="32" t="s">
        <v>173</v>
      </c>
      <c r="G347" s="32">
        <v>9.6020000000000003</v>
      </c>
      <c r="H347" s="32">
        <v>13.112915797456701</v>
      </c>
      <c r="I347" s="32" t="s">
        <v>174</v>
      </c>
      <c r="J347" s="32">
        <v>3</v>
      </c>
      <c r="K347" s="32" t="s">
        <v>183</v>
      </c>
      <c r="L347" s="18">
        <f t="shared" si="5"/>
        <v>999999999</v>
      </c>
    </row>
    <row r="348" spans="1:12" ht="15" customHeight="1" x14ac:dyDescent="0.25">
      <c r="A348" s="32" t="s">
        <v>186</v>
      </c>
      <c r="B348" s="32" t="s">
        <v>176</v>
      </c>
      <c r="C348" s="32" t="s">
        <v>154</v>
      </c>
      <c r="D348" s="32">
        <v>50.353247920000001</v>
      </c>
      <c r="E348" s="32">
        <v>50.802303999999999</v>
      </c>
      <c r="F348" s="32" t="s">
        <v>173</v>
      </c>
      <c r="G348" s="32">
        <v>9.6424000000000003</v>
      </c>
      <c r="H348" s="32">
        <v>14.201982624032199</v>
      </c>
      <c r="I348" s="32" t="s">
        <v>174</v>
      </c>
      <c r="J348" s="32">
        <v>3</v>
      </c>
      <c r="K348" s="32" t="s">
        <v>183</v>
      </c>
      <c r="L348" s="18">
        <f t="shared" si="5"/>
        <v>999999999</v>
      </c>
    </row>
    <row r="349" spans="1:12" ht="15" customHeight="1" x14ac:dyDescent="0.25">
      <c r="A349" s="32" t="s">
        <v>186</v>
      </c>
      <c r="B349" s="32" t="s">
        <v>176</v>
      </c>
      <c r="C349" s="32" t="s">
        <v>154</v>
      </c>
      <c r="D349" s="32">
        <v>50.806839920000002</v>
      </c>
      <c r="E349" s="32">
        <v>51.255896</v>
      </c>
      <c r="F349" s="32" t="s">
        <v>173</v>
      </c>
      <c r="G349" s="32">
        <v>9.6828000000000003</v>
      </c>
      <c r="H349" s="32">
        <v>13.2910494506076</v>
      </c>
      <c r="I349" s="32" t="s">
        <v>174</v>
      </c>
      <c r="J349" s="32">
        <v>3</v>
      </c>
      <c r="K349" s="32" t="s">
        <v>183</v>
      </c>
      <c r="L349" s="18">
        <f t="shared" si="5"/>
        <v>999999999</v>
      </c>
    </row>
    <row r="350" spans="1:12" ht="15" customHeight="1" x14ac:dyDescent="0.25">
      <c r="A350" s="32" t="s">
        <v>186</v>
      </c>
      <c r="B350" s="32" t="s">
        <v>176</v>
      </c>
      <c r="C350" s="32" t="s">
        <v>154</v>
      </c>
      <c r="D350" s="32">
        <v>51.260431920000002</v>
      </c>
      <c r="E350" s="32">
        <v>51.709488</v>
      </c>
      <c r="F350" s="32" t="s">
        <v>173</v>
      </c>
      <c r="G350" s="32">
        <v>9.7232000000000003</v>
      </c>
      <c r="H350" s="32">
        <v>8.3801162771830207</v>
      </c>
      <c r="I350" s="32" t="s">
        <v>174</v>
      </c>
      <c r="J350" s="32">
        <v>3</v>
      </c>
      <c r="K350" s="32" t="s">
        <v>183</v>
      </c>
      <c r="L350" s="18">
        <f t="shared" si="5"/>
        <v>999999999</v>
      </c>
    </row>
    <row r="351" spans="1:12" ht="15" customHeight="1" x14ac:dyDescent="0.25">
      <c r="A351" s="32" t="s">
        <v>186</v>
      </c>
      <c r="B351" s="32" t="s">
        <v>176</v>
      </c>
      <c r="C351" s="32" t="s">
        <v>154</v>
      </c>
      <c r="D351" s="32">
        <v>51.714023920000002</v>
      </c>
      <c r="E351" s="32">
        <v>52.163080000000001</v>
      </c>
      <c r="F351" s="32" t="s">
        <v>173</v>
      </c>
      <c r="G351" s="32">
        <v>9.7636000000000003</v>
      </c>
      <c r="H351" s="32">
        <v>13.4691831037584</v>
      </c>
      <c r="I351" s="32" t="s">
        <v>174</v>
      </c>
      <c r="J351" s="32">
        <v>3</v>
      </c>
      <c r="K351" s="32" t="s">
        <v>183</v>
      </c>
      <c r="L351" s="18">
        <f t="shared" si="5"/>
        <v>999999999</v>
      </c>
    </row>
    <row r="352" spans="1:12" ht="15" customHeight="1" x14ac:dyDescent="0.25">
      <c r="A352" s="32" t="s">
        <v>186</v>
      </c>
      <c r="B352" s="32" t="s">
        <v>176</v>
      </c>
      <c r="C352" s="32" t="s">
        <v>154</v>
      </c>
      <c r="D352" s="32">
        <v>52.167615920000003</v>
      </c>
      <c r="E352" s="32">
        <v>52.616672000000001</v>
      </c>
      <c r="F352" s="32" t="s">
        <v>173</v>
      </c>
      <c r="G352" s="32">
        <v>9.8040000000000003</v>
      </c>
      <c r="H352" s="32">
        <v>8.5582499303338704</v>
      </c>
      <c r="I352" s="32" t="s">
        <v>174</v>
      </c>
      <c r="J352" s="32">
        <v>3</v>
      </c>
      <c r="K352" s="32" t="s">
        <v>183</v>
      </c>
      <c r="L352" s="18">
        <f t="shared" si="5"/>
        <v>999999999</v>
      </c>
    </row>
    <row r="353" spans="1:12" ht="15" customHeight="1" x14ac:dyDescent="0.25">
      <c r="A353" s="32" t="s">
        <v>186</v>
      </c>
      <c r="B353" s="32" t="s">
        <v>176</v>
      </c>
      <c r="C353" s="32" t="s">
        <v>154</v>
      </c>
      <c r="D353" s="32">
        <v>52.621207920000003</v>
      </c>
      <c r="E353" s="32">
        <v>53.070264000000002</v>
      </c>
      <c r="F353" s="32" t="s">
        <v>173</v>
      </c>
      <c r="G353" s="32">
        <v>9.8444000000000003</v>
      </c>
      <c r="H353" s="32">
        <v>15.6473167569093</v>
      </c>
      <c r="I353" s="32" t="s">
        <v>174</v>
      </c>
      <c r="J353" s="32">
        <v>3</v>
      </c>
      <c r="K353" s="32" t="s">
        <v>183</v>
      </c>
      <c r="L353" s="18">
        <f t="shared" si="5"/>
        <v>999999999</v>
      </c>
    </row>
    <row r="354" spans="1:12" ht="15" customHeight="1" x14ac:dyDescent="0.25">
      <c r="A354" s="32" t="s">
        <v>186</v>
      </c>
      <c r="B354" s="32" t="s">
        <v>176</v>
      </c>
      <c r="C354" s="32" t="s">
        <v>154</v>
      </c>
      <c r="D354" s="32">
        <v>53.074799919999997</v>
      </c>
      <c r="E354" s="32">
        <v>53.523856000000002</v>
      </c>
      <c r="F354" s="32" t="s">
        <v>173</v>
      </c>
      <c r="G354" s="32">
        <v>9.8848000000000003</v>
      </c>
      <c r="H354" s="32">
        <v>14.736383583484701</v>
      </c>
      <c r="I354" s="32" t="s">
        <v>174</v>
      </c>
      <c r="J354" s="32">
        <v>3</v>
      </c>
      <c r="K354" s="32" t="s">
        <v>183</v>
      </c>
      <c r="L354" s="18">
        <f t="shared" si="5"/>
        <v>999999999</v>
      </c>
    </row>
    <row r="355" spans="1:12" ht="15" customHeight="1" x14ac:dyDescent="0.25">
      <c r="A355" s="32" t="s">
        <v>186</v>
      </c>
      <c r="B355" s="32" t="s">
        <v>176</v>
      </c>
      <c r="C355" s="32" t="s">
        <v>154</v>
      </c>
      <c r="D355" s="32">
        <v>53.528391919999997</v>
      </c>
      <c r="E355" s="32">
        <v>53.977448000000003</v>
      </c>
      <c r="F355" s="32" t="s">
        <v>173</v>
      </c>
      <c r="G355" s="32">
        <v>9.9252000000000002</v>
      </c>
      <c r="H355" s="32">
        <v>8.8254504100601405</v>
      </c>
      <c r="I355" s="32" t="s">
        <v>174</v>
      </c>
      <c r="J355" s="32">
        <v>3</v>
      </c>
      <c r="K355" s="32" t="s">
        <v>183</v>
      </c>
      <c r="L355" s="18">
        <f t="shared" si="5"/>
        <v>999999999</v>
      </c>
    </row>
    <row r="356" spans="1:12" ht="15" customHeight="1" x14ac:dyDescent="0.25">
      <c r="A356" s="32" t="s">
        <v>186</v>
      </c>
      <c r="B356" s="32" t="s">
        <v>176</v>
      </c>
      <c r="C356" s="32" t="s">
        <v>154</v>
      </c>
      <c r="D356" s="32">
        <v>53.981983919999998</v>
      </c>
      <c r="E356" s="32">
        <v>54.431040000000003</v>
      </c>
      <c r="F356" s="32" t="s">
        <v>173</v>
      </c>
      <c r="G356" s="32">
        <v>9.9656000000000002</v>
      </c>
      <c r="H356" s="32">
        <v>7.9145172366355698</v>
      </c>
      <c r="I356" s="32" t="s">
        <v>174</v>
      </c>
      <c r="J356" s="32">
        <v>3</v>
      </c>
      <c r="K356" s="32" t="s">
        <v>183</v>
      </c>
      <c r="L356" s="18">
        <f t="shared" si="5"/>
        <v>999999999</v>
      </c>
    </row>
    <row r="357" spans="1:12" ht="15" customHeight="1" x14ac:dyDescent="0.25">
      <c r="A357" s="32" t="s">
        <v>186</v>
      </c>
      <c r="B357" s="32" t="s">
        <v>176</v>
      </c>
      <c r="C357" s="32" t="s">
        <v>154</v>
      </c>
      <c r="D357" s="32">
        <v>54.435575919999998</v>
      </c>
      <c r="E357" s="32">
        <v>54.884632000000003</v>
      </c>
      <c r="F357" s="32" t="s">
        <v>173</v>
      </c>
      <c r="G357" s="32">
        <v>11.006</v>
      </c>
      <c r="H357" s="32">
        <v>7.0035840632109903</v>
      </c>
      <c r="I357" s="32" t="s">
        <v>174</v>
      </c>
      <c r="J357" s="32">
        <v>3</v>
      </c>
      <c r="K357" s="32" t="s">
        <v>183</v>
      </c>
      <c r="L357" s="18">
        <f t="shared" si="5"/>
        <v>999999999</v>
      </c>
    </row>
    <row r="358" spans="1:12" ht="15" customHeight="1" x14ac:dyDescent="0.25">
      <c r="A358" s="32" t="s">
        <v>186</v>
      </c>
      <c r="B358" s="32" t="s">
        <v>176</v>
      </c>
      <c r="C358" s="32" t="s">
        <v>154</v>
      </c>
      <c r="D358" s="32">
        <v>54.889167919999998</v>
      </c>
      <c r="E358" s="32">
        <v>55.338223999999997</v>
      </c>
      <c r="F358" s="32" t="s">
        <v>173</v>
      </c>
      <c r="G358" s="32">
        <v>11.0464</v>
      </c>
      <c r="H358" s="32">
        <v>11.0926508897864</v>
      </c>
      <c r="I358" s="32" t="s">
        <v>174</v>
      </c>
      <c r="J358" s="32">
        <v>3</v>
      </c>
      <c r="K358" s="32" t="s">
        <v>183</v>
      </c>
      <c r="L358" s="18">
        <f t="shared" si="5"/>
        <v>999999999</v>
      </c>
    </row>
    <row r="359" spans="1:12" ht="15" customHeight="1" x14ac:dyDescent="0.25">
      <c r="A359" s="32" t="s">
        <v>186</v>
      </c>
      <c r="B359" s="32" t="s">
        <v>176</v>
      </c>
      <c r="C359" s="32" t="s">
        <v>154</v>
      </c>
      <c r="D359" s="32">
        <v>55.342759919999999</v>
      </c>
      <c r="E359" s="32">
        <v>55.791815999999997</v>
      </c>
      <c r="F359" s="32" t="s">
        <v>173</v>
      </c>
      <c r="G359" s="32">
        <v>11.0868</v>
      </c>
      <c r="H359" s="32">
        <v>8.18171771636184</v>
      </c>
      <c r="I359" s="32" t="s">
        <v>174</v>
      </c>
      <c r="J359" s="32">
        <v>3</v>
      </c>
      <c r="K359" s="32" t="s">
        <v>183</v>
      </c>
      <c r="L359" s="18">
        <f t="shared" si="5"/>
        <v>999999999</v>
      </c>
    </row>
    <row r="360" spans="1:12" ht="15" customHeight="1" x14ac:dyDescent="0.25">
      <c r="A360" s="32" t="s">
        <v>186</v>
      </c>
      <c r="B360" s="32" t="s">
        <v>176</v>
      </c>
      <c r="C360" s="32" t="s">
        <v>154</v>
      </c>
      <c r="D360" s="32">
        <v>55.796351919999999</v>
      </c>
      <c r="E360" s="32">
        <v>56.245407999999998</v>
      </c>
      <c r="F360" s="32" t="s">
        <v>173</v>
      </c>
      <c r="G360" s="32">
        <v>11.1272</v>
      </c>
      <c r="H360" s="32">
        <v>9.2707845429372693</v>
      </c>
      <c r="I360" s="32" t="s">
        <v>174</v>
      </c>
      <c r="J360" s="32">
        <v>3</v>
      </c>
      <c r="K360" s="32" t="s">
        <v>183</v>
      </c>
      <c r="L360" s="18">
        <f t="shared" si="5"/>
        <v>999999999</v>
      </c>
    </row>
    <row r="361" spans="1:12" ht="15" customHeight="1" x14ac:dyDescent="0.25">
      <c r="A361" s="32" t="s">
        <v>186</v>
      </c>
      <c r="B361" s="32" t="s">
        <v>176</v>
      </c>
      <c r="C361" s="32" t="s">
        <v>154</v>
      </c>
      <c r="D361" s="32">
        <v>56.24994392</v>
      </c>
      <c r="E361" s="32">
        <v>56.698999999999998</v>
      </c>
      <c r="F361" s="32" t="s">
        <v>173</v>
      </c>
      <c r="G361" s="32">
        <v>11.1676</v>
      </c>
      <c r="H361" s="32">
        <v>14.3598513695127</v>
      </c>
      <c r="I361" s="32" t="s">
        <v>174</v>
      </c>
      <c r="J361" s="32">
        <v>3</v>
      </c>
      <c r="K361" s="32" t="s">
        <v>183</v>
      </c>
      <c r="L361" s="18">
        <f t="shared" si="5"/>
        <v>999999999</v>
      </c>
    </row>
    <row r="362" spans="1:12" ht="15" customHeight="1" x14ac:dyDescent="0.25">
      <c r="A362" s="32" t="s">
        <v>186</v>
      </c>
      <c r="B362" s="32" t="s">
        <v>176</v>
      </c>
      <c r="C362" s="32" t="s">
        <v>154</v>
      </c>
      <c r="D362" s="32">
        <v>56.70353592</v>
      </c>
      <c r="E362" s="32">
        <v>57.152591999999999</v>
      </c>
      <c r="F362" s="32" t="s">
        <v>173</v>
      </c>
      <c r="G362" s="32">
        <v>11.208</v>
      </c>
      <c r="H362" s="32">
        <v>16.448918196088101</v>
      </c>
      <c r="I362" s="32" t="s">
        <v>174</v>
      </c>
      <c r="J362" s="32">
        <v>3</v>
      </c>
      <c r="K362" s="32" t="s">
        <v>183</v>
      </c>
      <c r="L362" s="18">
        <f t="shared" si="5"/>
        <v>999999999</v>
      </c>
    </row>
    <row r="363" spans="1:12" ht="15" customHeight="1" x14ac:dyDescent="0.25">
      <c r="A363" s="32" t="s">
        <v>186</v>
      </c>
      <c r="B363" s="32" t="s">
        <v>176</v>
      </c>
      <c r="C363" s="32" t="s">
        <v>154</v>
      </c>
      <c r="D363" s="32">
        <v>57.157127920000001</v>
      </c>
      <c r="E363" s="32">
        <v>57.606183999999999</v>
      </c>
      <c r="F363" s="32" t="s">
        <v>173</v>
      </c>
      <c r="G363" s="32">
        <v>11.2484</v>
      </c>
      <c r="H363" s="32">
        <v>12.5379850226635</v>
      </c>
      <c r="I363" s="32" t="s">
        <v>174</v>
      </c>
      <c r="J363" s="32">
        <v>3</v>
      </c>
      <c r="K363" s="32" t="s">
        <v>183</v>
      </c>
      <c r="L363" s="18">
        <f t="shared" si="5"/>
        <v>999999999</v>
      </c>
    </row>
    <row r="364" spans="1:12" ht="15" customHeight="1" x14ac:dyDescent="0.25">
      <c r="A364" s="32" t="s">
        <v>186</v>
      </c>
      <c r="B364" s="32" t="s">
        <v>176</v>
      </c>
      <c r="C364" s="32" t="s">
        <v>154</v>
      </c>
      <c r="D364" s="32">
        <v>57.610719920000001</v>
      </c>
      <c r="E364" s="32">
        <v>58.059775999999999</v>
      </c>
      <c r="F364" s="32" t="s">
        <v>173</v>
      </c>
      <c r="G364" s="32">
        <v>11.2888</v>
      </c>
      <c r="H364" s="32">
        <v>13.627051849239001</v>
      </c>
      <c r="I364" s="32" t="s">
        <v>174</v>
      </c>
      <c r="J364" s="32">
        <v>3</v>
      </c>
      <c r="K364" s="32" t="s">
        <v>183</v>
      </c>
      <c r="L364" s="18">
        <f t="shared" si="5"/>
        <v>999999999</v>
      </c>
    </row>
    <row r="365" spans="1:12" ht="15" customHeight="1" x14ac:dyDescent="0.25">
      <c r="A365" s="32" t="s">
        <v>186</v>
      </c>
      <c r="B365" s="32" t="s">
        <v>176</v>
      </c>
      <c r="C365" s="32" t="s">
        <v>154</v>
      </c>
      <c r="D365" s="32">
        <v>58.064311920000002</v>
      </c>
      <c r="E365" s="32">
        <v>58.513368</v>
      </c>
      <c r="F365" s="32" t="s">
        <v>173</v>
      </c>
      <c r="G365" s="32">
        <v>11.3292</v>
      </c>
      <c r="H365" s="32">
        <v>15.7161186758144</v>
      </c>
      <c r="I365" s="32" t="s">
        <v>174</v>
      </c>
      <c r="J365" s="32">
        <v>3</v>
      </c>
      <c r="K365" s="32" t="s">
        <v>183</v>
      </c>
      <c r="L365" s="18">
        <f t="shared" si="5"/>
        <v>999999999</v>
      </c>
    </row>
    <row r="366" spans="1:12" ht="15" customHeight="1" x14ac:dyDescent="0.25">
      <c r="A366" s="32" t="s">
        <v>186</v>
      </c>
      <c r="B366" s="32" t="s">
        <v>176</v>
      </c>
      <c r="C366" s="32" t="s">
        <v>154</v>
      </c>
      <c r="D366" s="32">
        <v>58.517903920000002</v>
      </c>
      <c r="E366" s="32">
        <v>58.96696</v>
      </c>
      <c r="F366" s="32" t="s">
        <v>173</v>
      </c>
      <c r="G366" s="32">
        <v>11.3696</v>
      </c>
      <c r="H366" s="32">
        <v>10.805185502389801</v>
      </c>
      <c r="I366" s="32" t="s">
        <v>174</v>
      </c>
      <c r="J366" s="32">
        <v>3</v>
      </c>
      <c r="K366" s="32" t="s">
        <v>183</v>
      </c>
      <c r="L366" s="18">
        <f t="shared" si="5"/>
        <v>999999999</v>
      </c>
    </row>
    <row r="367" spans="1:12" ht="15" customHeight="1" x14ac:dyDescent="0.25">
      <c r="A367" s="32" t="s">
        <v>186</v>
      </c>
      <c r="B367" s="32" t="s">
        <v>176</v>
      </c>
      <c r="C367" s="32" t="s">
        <v>154</v>
      </c>
      <c r="D367" s="32">
        <v>58.971495920000002</v>
      </c>
      <c r="E367" s="32">
        <v>59.420552000000001</v>
      </c>
      <c r="F367" s="32" t="s">
        <v>173</v>
      </c>
      <c r="G367" s="32">
        <v>11.41</v>
      </c>
      <c r="H367" s="32">
        <v>7.8942523289652398</v>
      </c>
      <c r="I367" s="32" t="s">
        <v>174</v>
      </c>
      <c r="J367" s="32">
        <v>3</v>
      </c>
      <c r="K367" s="32" t="s">
        <v>183</v>
      </c>
      <c r="L367" s="18">
        <f t="shared" si="5"/>
        <v>999999999</v>
      </c>
    </row>
    <row r="368" spans="1:12" ht="15" customHeight="1" x14ac:dyDescent="0.25">
      <c r="A368" s="32" t="s">
        <v>186</v>
      </c>
      <c r="B368" s="32" t="s">
        <v>176</v>
      </c>
      <c r="C368" s="32" t="s">
        <v>154</v>
      </c>
      <c r="D368" s="32">
        <v>59.425087920000003</v>
      </c>
      <c r="E368" s="32">
        <v>59.874144000000001</v>
      </c>
      <c r="F368" s="32" t="s">
        <v>173</v>
      </c>
      <c r="G368" s="32">
        <v>11.4504</v>
      </c>
      <c r="H368" s="32">
        <v>16.983319155540698</v>
      </c>
      <c r="I368" s="32" t="s">
        <v>174</v>
      </c>
      <c r="J368" s="32">
        <v>3</v>
      </c>
      <c r="K368" s="32" t="s">
        <v>183</v>
      </c>
      <c r="L368" s="18">
        <f t="shared" si="5"/>
        <v>999999999</v>
      </c>
    </row>
    <row r="369" spans="1:12" ht="15" customHeight="1" x14ac:dyDescent="0.25">
      <c r="A369" s="32" t="s">
        <v>186</v>
      </c>
      <c r="B369" s="32" t="s">
        <v>176</v>
      </c>
      <c r="C369" s="32" t="s">
        <v>154</v>
      </c>
      <c r="D369" s="32">
        <v>59.878679920000003</v>
      </c>
      <c r="E369" s="32">
        <v>60.327736000000002</v>
      </c>
      <c r="F369" s="32" t="s">
        <v>173</v>
      </c>
      <c r="G369" s="32">
        <v>11.4908</v>
      </c>
      <c r="H369" s="32">
        <v>8.0723859821160904</v>
      </c>
      <c r="I369" s="32" t="s">
        <v>174</v>
      </c>
      <c r="J369" s="32">
        <v>3</v>
      </c>
      <c r="K369" s="32" t="s">
        <v>183</v>
      </c>
      <c r="L369" s="18">
        <f t="shared" si="5"/>
        <v>999999999</v>
      </c>
    </row>
    <row r="370" spans="1:12" ht="15" customHeight="1" x14ac:dyDescent="0.25">
      <c r="A370" s="32" t="s">
        <v>186</v>
      </c>
      <c r="B370" s="32" t="s">
        <v>176</v>
      </c>
      <c r="C370" s="32" t="s">
        <v>154</v>
      </c>
      <c r="D370" s="32">
        <v>60.332271919999997</v>
      </c>
      <c r="E370" s="32">
        <v>60.781328000000002</v>
      </c>
      <c r="F370" s="32" t="s">
        <v>173</v>
      </c>
      <c r="G370" s="32">
        <v>11.5312</v>
      </c>
      <c r="H370" s="32">
        <v>16.1614528086915</v>
      </c>
      <c r="I370" s="32" t="s">
        <v>174</v>
      </c>
      <c r="J370" s="32">
        <v>3</v>
      </c>
      <c r="K370" s="32" t="s">
        <v>183</v>
      </c>
      <c r="L370" s="18">
        <f t="shared" si="5"/>
        <v>999999999</v>
      </c>
    </row>
    <row r="371" spans="1:12" ht="15" customHeight="1" x14ac:dyDescent="0.25">
      <c r="A371" s="32" t="s">
        <v>186</v>
      </c>
      <c r="B371" s="32" t="s">
        <v>176</v>
      </c>
      <c r="C371" s="32" t="s">
        <v>154</v>
      </c>
      <c r="D371" s="32">
        <v>60.785863919999997</v>
      </c>
      <c r="E371" s="32">
        <v>61.234920000000002</v>
      </c>
      <c r="F371" s="32" t="s">
        <v>173</v>
      </c>
      <c r="G371" s="32">
        <v>11.5716</v>
      </c>
      <c r="H371" s="32">
        <v>8.2505196352669401</v>
      </c>
      <c r="I371" s="32" t="s">
        <v>174</v>
      </c>
      <c r="J371" s="32">
        <v>3</v>
      </c>
      <c r="K371" s="32" t="s">
        <v>183</v>
      </c>
      <c r="L371" s="18">
        <f t="shared" si="5"/>
        <v>999999999</v>
      </c>
    </row>
    <row r="372" spans="1:12" ht="15" customHeight="1" x14ac:dyDescent="0.25">
      <c r="A372" s="32" t="s">
        <v>186</v>
      </c>
      <c r="B372" s="32" t="s">
        <v>176</v>
      </c>
      <c r="C372" s="32" t="s">
        <v>154</v>
      </c>
      <c r="D372" s="32">
        <v>61.239455919999997</v>
      </c>
      <c r="E372" s="32">
        <v>61.688512000000003</v>
      </c>
      <c r="F372" s="32" t="s">
        <v>173</v>
      </c>
      <c r="G372" s="32">
        <v>11.612</v>
      </c>
      <c r="H372" s="32">
        <v>17.339586461842401</v>
      </c>
      <c r="I372" s="32" t="s">
        <v>174</v>
      </c>
      <c r="J372" s="32">
        <v>3</v>
      </c>
      <c r="K372" s="32" t="s">
        <v>183</v>
      </c>
      <c r="L372" s="18">
        <f t="shared" si="5"/>
        <v>999999999</v>
      </c>
    </row>
    <row r="373" spans="1:12" ht="15" customHeight="1" x14ac:dyDescent="0.25">
      <c r="A373" s="32" t="s">
        <v>186</v>
      </c>
      <c r="B373" s="32" t="s">
        <v>176</v>
      </c>
      <c r="C373" s="32" t="s">
        <v>154</v>
      </c>
      <c r="D373" s="32">
        <v>61.693047919999998</v>
      </c>
      <c r="E373" s="32">
        <v>62.142104000000003</v>
      </c>
      <c r="F373" s="32" t="s">
        <v>173</v>
      </c>
      <c r="G373" s="32">
        <v>11.6524</v>
      </c>
      <c r="H373" s="32">
        <v>14.4286532884178</v>
      </c>
      <c r="I373" s="32" t="s">
        <v>174</v>
      </c>
      <c r="J373" s="32">
        <v>3</v>
      </c>
      <c r="K373" s="32" t="s">
        <v>183</v>
      </c>
      <c r="L373" s="18">
        <f t="shared" si="5"/>
        <v>999999999</v>
      </c>
    </row>
    <row r="374" spans="1:12" ht="15" customHeight="1" x14ac:dyDescent="0.25">
      <c r="A374" s="32" t="s">
        <v>186</v>
      </c>
      <c r="B374" s="32" t="s">
        <v>176</v>
      </c>
      <c r="C374" s="32" t="s">
        <v>154</v>
      </c>
      <c r="D374" s="32">
        <v>62.146639919999998</v>
      </c>
      <c r="E374" s="32">
        <v>62.595695999999997</v>
      </c>
      <c r="F374" s="32" t="s">
        <v>173</v>
      </c>
      <c r="G374" s="32">
        <v>11.6928</v>
      </c>
      <c r="H374" s="32">
        <v>17.5177201149932</v>
      </c>
      <c r="I374" s="32" t="s">
        <v>174</v>
      </c>
      <c r="J374" s="32">
        <v>3</v>
      </c>
      <c r="K374" s="32" t="s">
        <v>183</v>
      </c>
      <c r="L374" s="18">
        <f t="shared" si="5"/>
        <v>999999999</v>
      </c>
    </row>
    <row r="375" spans="1:12" ht="15" customHeight="1" x14ac:dyDescent="0.25">
      <c r="A375" s="32" t="s">
        <v>186</v>
      </c>
      <c r="B375" s="32" t="s">
        <v>176</v>
      </c>
      <c r="C375" s="32" t="s">
        <v>154</v>
      </c>
      <c r="D375" s="32">
        <v>62.600231919999999</v>
      </c>
      <c r="E375" s="32">
        <v>63.049287999999997</v>
      </c>
      <c r="F375" s="32" t="s">
        <v>173</v>
      </c>
      <c r="G375" s="32">
        <v>11.7332</v>
      </c>
      <c r="H375" s="32">
        <v>13.6067869415686</v>
      </c>
      <c r="I375" s="32" t="s">
        <v>174</v>
      </c>
      <c r="J375" s="32">
        <v>3</v>
      </c>
      <c r="K375" s="32" t="s">
        <v>183</v>
      </c>
      <c r="L375" s="18">
        <f t="shared" si="5"/>
        <v>999999999</v>
      </c>
    </row>
    <row r="376" spans="1:12" ht="15" customHeight="1" x14ac:dyDescent="0.25">
      <c r="A376" s="32" t="s">
        <v>186</v>
      </c>
      <c r="B376" s="32" t="s">
        <v>176</v>
      </c>
      <c r="C376" s="32" t="s">
        <v>154</v>
      </c>
      <c r="D376" s="32">
        <v>63.053823919999999</v>
      </c>
      <c r="E376" s="32">
        <v>63.502879999999998</v>
      </c>
      <c r="F376" s="32" t="s">
        <v>173</v>
      </c>
      <c r="G376" s="32">
        <v>11.7736</v>
      </c>
      <c r="H376" s="32">
        <v>18.695853768144101</v>
      </c>
      <c r="I376" s="32" t="s">
        <v>174</v>
      </c>
      <c r="J376" s="32">
        <v>3</v>
      </c>
      <c r="K376" s="32" t="s">
        <v>183</v>
      </c>
      <c r="L376" s="18">
        <f t="shared" si="5"/>
        <v>999999999</v>
      </c>
    </row>
    <row r="377" spans="1:12" ht="15" customHeight="1" x14ac:dyDescent="0.25">
      <c r="A377" s="32" t="s">
        <v>186</v>
      </c>
      <c r="B377" s="32" t="s">
        <v>176</v>
      </c>
      <c r="C377" s="32" t="s">
        <v>154</v>
      </c>
      <c r="D377" s="32">
        <v>63.50741592</v>
      </c>
      <c r="E377" s="32">
        <v>63.956471999999998</v>
      </c>
      <c r="F377" s="32" t="s">
        <v>173</v>
      </c>
      <c r="G377" s="32">
        <v>11.814</v>
      </c>
      <c r="H377" s="32">
        <v>6.7849205947194804</v>
      </c>
      <c r="I377" s="32" t="s">
        <v>174</v>
      </c>
      <c r="J377" s="32">
        <v>3</v>
      </c>
      <c r="K377" s="32" t="s">
        <v>183</v>
      </c>
      <c r="L377" s="18">
        <f t="shared" si="5"/>
        <v>999999999</v>
      </c>
    </row>
    <row r="378" spans="1:12" ht="15" customHeight="1" x14ac:dyDescent="0.25">
      <c r="A378" s="32" t="s">
        <v>186</v>
      </c>
      <c r="B378" s="32" t="s">
        <v>176</v>
      </c>
      <c r="C378" s="32" t="s">
        <v>154</v>
      </c>
      <c r="D378" s="32">
        <v>63.96100792</v>
      </c>
      <c r="E378" s="32">
        <v>64.410064000000006</v>
      </c>
      <c r="F378" s="32" t="s">
        <v>173</v>
      </c>
      <c r="G378" s="32">
        <v>11.8544</v>
      </c>
      <c r="H378" s="32">
        <v>11.873987421294901</v>
      </c>
      <c r="I378" s="32" t="s">
        <v>174</v>
      </c>
      <c r="J378" s="32">
        <v>3</v>
      </c>
      <c r="K378" s="32" t="s">
        <v>183</v>
      </c>
      <c r="L378" s="18">
        <f t="shared" si="5"/>
        <v>999999999</v>
      </c>
    </row>
    <row r="379" spans="1:12" ht="15" customHeight="1" x14ac:dyDescent="0.25">
      <c r="A379" s="32" t="s">
        <v>186</v>
      </c>
      <c r="B379" s="32" t="s">
        <v>176</v>
      </c>
      <c r="C379" s="32" t="s">
        <v>154</v>
      </c>
      <c r="D379" s="32">
        <v>64.414599920000001</v>
      </c>
      <c r="E379" s="32">
        <v>64.863656000000006</v>
      </c>
      <c r="F379" s="32" t="s">
        <v>173</v>
      </c>
      <c r="G379" s="32">
        <v>11.8948</v>
      </c>
      <c r="H379" s="32">
        <v>18.9630542478703</v>
      </c>
      <c r="I379" s="32" t="s">
        <v>174</v>
      </c>
      <c r="J379" s="32">
        <v>3</v>
      </c>
      <c r="K379" s="32" t="s">
        <v>183</v>
      </c>
      <c r="L379" s="18">
        <f t="shared" si="5"/>
        <v>999999999</v>
      </c>
    </row>
    <row r="380" spans="1:12" ht="15" customHeight="1" x14ac:dyDescent="0.25">
      <c r="A380" s="32" t="s">
        <v>186</v>
      </c>
      <c r="B380" s="32" t="s">
        <v>176</v>
      </c>
      <c r="C380" s="32" t="s">
        <v>154</v>
      </c>
      <c r="D380" s="32">
        <v>64.868191920000001</v>
      </c>
      <c r="E380" s="32">
        <v>65.317248000000006</v>
      </c>
      <c r="F380" s="32" t="s">
        <v>173</v>
      </c>
      <c r="G380" s="32">
        <v>11.9352</v>
      </c>
      <c r="H380" s="32">
        <v>18.0521210744458</v>
      </c>
      <c r="I380" s="32" t="s">
        <v>174</v>
      </c>
      <c r="J380" s="32">
        <v>3</v>
      </c>
      <c r="K380" s="32" t="s">
        <v>183</v>
      </c>
      <c r="L380" s="18">
        <f t="shared" si="5"/>
        <v>999999999</v>
      </c>
    </row>
    <row r="381" spans="1:12" ht="15" customHeight="1" x14ac:dyDescent="0.25">
      <c r="A381" s="32" t="s">
        <v>186</v>
      </c>
      <c r="B381" s="32" t="s">
        <v>176</v>
      </c>
      <c r="C381" s="32" t="s">
        <v>154</v>
      </c>
      <c r="D381" s="32">
        <v>65.321783920000001</v>
      </c>
      <c r="E381" s="32">
        <v>65.770840000000007</v>
      </c>
      <c r="F381" s="32" t="s">
        <v>173</v>
      </c>
      <c r="G381" s="32">
        <v>11.9756</v>
      </c>
      <c r="H381" s="32">
        <v>11.141187901021199</v>
      </c>
      <c r="I381" s="32" t="s">
        <v>174</v>
      </c>
      <c r="J381" s="32">
        <v>3</v>
      </c>
      <c r="K381" s="32" t="s">
        <v>183</v>
      </c>
      <c r="L381" s="18">
        <f t="shared" si="5"/>
        <v>999999999</v>
      </c>
    </row>
    <row r="382" spans="1:12" ht="15" customHeight="1" x14ac:dyDescent="0.25">
      <c r="A382" s="32" t="s">
        <v>186</v>
      </c>
      <c r="B382" s="32" t="s">
        <v>176</v>
      </c>
      <c r="C382" s="32" t="s">
        <v>154</v>
      </c>
      <c r="D382" s="32">
        <v>65.775375920000002</v>
      </c>
      <c r="E382" s="32">
        <v>66.224431999999993</v>
      </c>
      <c r="F382" s="32" t="s">
        <v>173</v>
      </c>
      <c r="G382" s="32">
        <v>13.016</v>
      </c>
      <c r="H382" s="32">
        <v>13.2302547275966</v>
      </c>
      <c r="I382" s="32" t="s">
        <v>174</v>
      </c>
      <c r="J382" s="32">
        <v>3</v>
      </c>
      <c r="K382" s="32" t="s">
        <v>183</v>
      </c>
      <c r="L382" s="18">
        <f t="shared" si="5"/>
        <v>999999999</v>
      </c>
    </row>
    <row r="383" spans="1:12" ht="15" customHeight="1" x14ac:dyDescent="0.25">
      <c r="A383" s="32" t="s">
        <v>186</v>
      </c>
      <c r="B383" s="32" t="s">
        <v>176</v>
      </c>
      <c r="C383" s="32" t="s">
        <v>154</v>
      </c>
      <c r="D383" s="32">
        <v>66.228967920000002</v>
      </c>
      <c r="E383" s="32">
        <v>66.678023999999994</v>
      </c>
      <c r="F383" s="32" t="s">
        <v>173</v>
      </c>
      <c r="G383" s="32">
        <v>13.0564</v>
      </c>
      <c r="H383" s="32">
        <v>11.319321554171999</v>
      </c>
      <c r="I383" s="32" t="s">
        <v>174</v>
      </c>
      <c r="J383" s="32">
        <v>3</v>
      </c>
      <c r="K383" s="32" t="s">
        <v>183</v>
      </c>
      <c r="L383" s="18">
        <f t="shared" si="5"/>
        <v>999999999</v>
      </c>
    </row>
    <row r="384" spans="1:12" ht="15" customHeight="1" x14ac:dyDescent="0.25">
      <c r="A384" s="32" t="s">
        <v>186</v>
      </c>
      <c r="B384" s="32" t="s">
        <v>176</v>
      </c>
      <c r="C384" s="32" t="s">
        <v>154</v>
      </c>
      <c r="D384" s="32">
        <v>66.682559920000003</v>
      </c>
      <c r="E384" s="32">
        <v>67.131615999999994</v>
      </c>
      <c r="F384" s="32" t="s">
        <v>173</v>
      </c>
      <c r="G384" s="32">
        <v>13.0968</v>
      </c>
      <c r="H384" s="32">
        <v>10.4083883807475</v>
      </c>
      <c r="I384" s="32" t="s">
        <v>174</v>
      </c>
      <c r="J384" s="32">
        <v>3</v>
      </c>
      <c r="K384" s="32" t="s">
        <v>183</v>
      </c>
      <c r="L384" s="18">
        <f t="shared" si="5"/>
        <v>999999999</v>
      </c>
    </row>
    <row r="385" spans="1:12" ht="15" customHeight="1" x14ac:dyDescent="0.25">
      <c r="A385" s="32" t="s">
        <v>186</v>
      </c>
      <c r="B385" s="32" t="s">
        <v>176</v>
      </c>
      <c r="C385" s="32" t="s">
        <v>154</v>
      </c>
      <c r="D385" s="32">
        <v>67.136151920000003</v>
      </c>
      <c r="E385" s="32">
        <v>67.585207999999994</v>
      </c>
      <c r="F385" s="32" t="s">
        <v>173</v>
      </c>
      <c r="G385" s="32">
        <v>13.1372</v>
      </c>
      <c r="H385" s="32">
        <v>17.497455207322901</v>
      </c>
      <c r="I385" s="32" t="s">
        <v>174</v>
      </c>
      <c r="J385" s="32">
        <v>3</v>
      </c>
      <c r="K385" s="32" t="s">
        <v>183</v>
      </c>
      <c r="L385" s="18">
        <f t="shared" si="5"/>
        <v>999999999</v>
      </c>
    </row>
    <row r="386" spans="1:12" ht="15" customHeight="1" x14ac:dyDescent="0.25">
      <c r="A386" s="32" t="s">
        <v>186</v>
      </c>
      <c r="B386" s="32" t="s">
        <v>176</v>
      </c>
      <c r="C386" s="32" t="s">
        <v>154</v>
      </c>
      <c r="D386" s="32">
        <v>67.589743920000004</v>
      </c>
      <c r="E386" s="32">
        <v>68.038799999999995</v>
      </c>
      <c r="F386" s="32" t="s">
        <v>173</v>
      </c>
      <c r="G386" s="32">
        <v>13.1776</v>
      </c>
      <c r="H386" s="32">
        <v>11.5865220338983</v>
      </c>
      <c r="I386" s="32" t="s">
        <v>174</v>
      </c>
      <c r="J386" s="32">
        <v>3</v>
      </c>
      <c r="K386" s="32" t="s">
        <v>183</v>
      </c>
      <c r="L386" s="18">
        <f t="shared" ref="L386:L449" si="6">IF(AND(B386=Quote_Port,D386&lt;=Quote_Weight,Quote_Weight&lt;=E386,OR(Quote_2Day="No",J386&lt;=2)),MAX(G386,Quote_Weight*H386)*Quote_USDINR,999999999)</f>
        <v>999999999</v>
      </c>
    </row>
    <row r="387" spans="1:12" ht="15" customHeight="1" x14ac:dyDescent="0.25">
      <c r="A387" s="32" t="s">
        <v>186</v>
      </c>
      <c r="B387" s="32" t="s">
        <v>176</v>
      </c>
      <c r="C387" s="32" t="s">
        <v>154</v>
      </c>
      <c r="D387" s="32">
        <v>68.043335920000004</v>
      </c>
      <c r="E387" s="32">
        <v>45359.195464080003</v>
      </c>
      <c r="F387" s="32" t="s">
        <v>173</v>
      </c>
      <c r="G387" s="32">
        <v>13.2484</v>
      </c>
      <c r="H387" s="32">
        <v>0.118030526111572</v>
      </c>
      <c r="I387" s="32" t="s">
        <v>174</v>
      </c>
      <c r="J387" s="32">
        <v>3</v>
      </c>
      <c r="K387" s="32" t="s">
        <v>183</v>
      </c>
      <c r="L387" s="18">
        <f t="shared" si="6"/>
        <v>999999999</v>
      </c>
    </row>
    <row r="388" spans="1:12" ht="15" customHeight="1" x14ac:dyDescent="0.25">
      <c r="A388" s="32" t="s">
        <v>185</v>
      </c>
      <c r="B388" s="32" t="s">
        <v>62</v>
      </c>
      <c r="C388" s="32" t="s">
        <v>154</v>
      </c>
      <c r="D388" s="32">
        <v>2000</v>
      </c>
      <c r="E388" s="32">
        <v>99999.99</v>
      </c>
      <c r="F388" s="32" t="s">
        <v>173</v>
      </c>
      <c r="G388" s="32">
        <v>13.667199999999999</v>
      </c>
      <c r="H388" s="32">
        <v>8.6800000000000002E-2</v>
      </c>
      <c r="I388" s="32" t="s">
        <v>174</v>
      </c>
      <c r="J388" s="32">
        <v>2</v>
      </c>
      <c r="K388" s="32" t="s">
        <v>175</v>
      </c>
      <c r="L388" s="18">
        <f t="shared" si="6"/>
        <v>999999999</v>
      </c>
    </row>
    <row r="389" spans="1:12" ht="15" customHeight="1" x14ac:dyDescent="0.25">
      <c r="A389" s="32" t="s">
        <v>185</v>
      </c>
      <c r="B389" s="32" t="s">
        <v>62</v>
      </c>
      <c r="C389" s="32" t="s">
        <v>154</v>
      </c>
      <c r="D389" s="32">
        <v>0</v>
      </c>
      <c r="E389" s="32">
        <v>99.99</v>
      </c>
      <c r="F389" s="32" t="s">
        <v>173</v>
      </c>
      <c r="G389" s="32">
        <v>13.667199999999999</v>
      </c>
      <c r="H389" s="32">
        <v>8.6800000000000002E-2</v>
      </c>
      <c r="I389" s="32" t="s">
        <v>174</v>
      </c>
      <c r="J389" s="32">
        <v>2</v>
      </c>
      <c r="K389" s="32" t="s">
        <v>175</v>
      </c>
      <c r="L389" s="18">
        <f t="shared" si="6"/>
        <v>999999999</v>
      </c>
    </row>
    <row r="390" spans="1:12" ht="15" customHeight="1" x14ac:dyDescent="0.25">
      <c r="A390" s="32" t="s">
        <v>185</v>
      </c>
      <c r="B390" s="32" t="s">
        <v>62</v>
      </c>
      <c r="C390" s="32" t="s">
        <v>154</v>
      </c>
      <c r="D390" s="32">
        <v>100</v>
      </c>
      <c r="E390" s="32">
        <v>249.99</v>
      </c>
      <c r="F390" s="32" t="s">
        <v>173</v>
      </c>
      <c r="G390" s="32">
        <v>13.667199999999999</v>
      </c>
      <c r="H390" s="32">
        <v>8.6800000000000002E-2</v>
      </c>
      <c r="I390" s="32" t="s">
        <v>174</v>
      </c>
      <c r="J390" s="32">
        <v>2</v>
      </c>
      <c r="K390" s="32" t="s">
        <v>175</v>
      </c>
      <c r="L390" s="18">
        <f t="shared" si="6"/>
        <v>999999999</v>
      </c>
    </row>
    <row r="391" spans="1:12" ht="15" customHeight="1" x14ac:dyDescent="0.25">
      <c r="A391" s="32" t="s">
        <v>185</v>
      </c>
      <c r="B391" s="32" t="s">
        <v>62</v>
      </c>
      <c r="C391" s="32" t="s">
        <v>154</v>
      </c>
      <c r="D391" s="32">
        <v>250</v>
      </c>
      <c r="E391" s="32">
        <v>499.99</v>
      </c>
      <c r="F391" s="32" t="s">
        <v>173</v>
      </c>
      <c r="G391" s="32">
        <v>13.667199999999999</v>
      </c>
      <c r="H391" s="32">
        <v>8.6800000000000002E-2</v>
      </c>
      <c r="I391" s="32" t="s">
        <v>174</v>
      </c>
      <c r="J391" s="32">
        <v>2</v>
      </c>
      <c r="K391" s="32" t="s">
        <v>175</v>
      </c>
      <c r="L391" s="18">
        <f t="shared" si="6"/>
        <v>999999999</v>
      </c>
    </row>
    <row r="392" spans="1:12" ht="15" customHeight="1" x14ac:dyDescent="0.25">
      <c r="A392" s="32" t="s">
        <v>185</v>
      </c>
      <c r="B392" s="32" t="s">
        <v>62</v>
      </c>
      <c r="C392" s="32" t="s">
        <v>154</v>
      </c>
      <c r="D392" s="32">
        <v>500</v>
      </c>
      <c r="E392" s="32">
        <v>1999.99</v>
      </c>
      <c r="F392" s="32" t="s">
        <v>173</v>
      </c>
      <c r="G392" s="32">
        <v>13.667199999999999</v>
      </c>
      <c r="H392" s="32">
        <v>8.6800000000000002E-2</v>
      </c>
      <c r="I392" s="32" t="s">
        <v>174</v>
      </c>
      <c r="J392" s="32">
        <v>2</v>
      </c>
      <c r="K392" s="32" t="s">
        <v>175</v>
      </c>
      <c r="L392" s="18">
        <f t="shared" si="6"/>
        <v>999999999</v>
      </c>
    </row>
    <row r="393" spans="1:12" ht="15" customHeight="1" x14ac:dyDescent="0.25">
      <c r="A393" s="32" t="s">
        <v>185</v>
      </c>
      <c r="B393" s="32" t="s">
        <v>62</v>
      </c>
      <c r="C393" s="32" t="s">
        <v>154</v>
      </c>
      <c r="D393" s="32">
        <v>0</v>
      </c>
      <c r="E393" s="32">
        <v>99.99</v>
      </c>
      <c r="F393" s="32" t="s">
        <v>181</v>
      </c>
      <c r="G393" s="32">
        <v>5.4272</v>
      </c>
      <c r="H393" s="32">
        <v>7.3999999999999996E-2</v>
      </c>
      <c r="I393" s="32" t="s">
        <v>174</v>
      </c>
      <c r="J393" s="32">
        <v>2</v>
      </c>
      <c r="K393" s="32" t="s">
        <v>175</v>
      </c>
      <c r="L393" s="18">
        <f t="shared" si="6"/>
        <v>999999999</v>
      </c>
    </row>
    <row r="394" spans="1:12" ht="15" customHeight="1" x14ac:dyDescent="0.25">
      <c r="A394" s="32" t="s">
        <v>185</v>
      </c>
      <c r="B394" s="32" t="s">
        <v>62</v>
      </c>
      <c r="C394" s="32" t="s">
        <v>154</v>
      </c>
      <c r="D394" s="32">
        <v>500</v>
      </c>
      <c r="E394" s="32">
        <v>1999.99</v>
      </c>
      <c r="F394" s="32" t="s">
        <v>181</v>
      </c>
      <c r="G394" s="32">
        <v>5.4272</v>
      </c>
      <c r="H394" s="32">
        <v>7.3999999999999996E-2</v>
      </c>
      <c r="I394" s="32" t="s">
        <v>174</v>
      </c>
      <c r="J394" s="32">
        <v>2</v>
      </c>
      <c r="K394" s="32" t="s">
        <v>175</v>
      </c>
      <c r="L394" s="18">
        <f t="shared" si="6"/>
        <v>999999999</v>
      </c>
    </row>
    <row r="395" spans="1:12" ht="15" customHeight="1" x14ac:dyDescent="0.25">
      <c r="A395" s="32" t="s">
        <v>185</v>
      </c>
      <c r="B395" s="32" t="s">
        <v>62</v>
      </c>
      <c r="C395" s="32" t="s">
        <v>154</v>
      </c>
      <c r="D395" s="32">
        <v>2000</v>
      </c>
      <c r="E395" s="32">
        <v>99999.99</v>
      </c>
      <c r="F395" s="32" t="s">
        <v>181</v>
      </c>
      <c r="G395" s="32">
        <v>5.4272</v>
      </c>
      <c r="H395" s="32">
        <v>7.3999999999999996E-2</v>
      </c>
      <c r="I395" s="32" t="s">
        <v>174</v>
      </c>
      <c r="J395" s="32">
        <v>2</v>
      </c>
      <c r="K395" s="32" t="s">
        <v>175</v>
      </c>
      <c r="L395" s="18">
        <f t="shared" si="6"/>
        <v>999999999</v>
      </c>
    </row>
    <row r="396" spans="1:12" ht="15" customHeight="1" x14ac:dyDescent="0.25">
      <c r="A396" s="32" t="s">
        <v>185</v>
      </c>
      <c r="B396" s="32" t="s">
        <v>62</v>
      </c>
      <c r="C396" s="32" t="s">
        <v>154</v>
      </c>
      <c r="D396" s="32">
        <v>250</v>
      </c>
      <c r="E396" s="32">
        <v>499.99</v>
      </c>
      <c r="F396" s="32" t="s">
        <v>181</v>
      </c>
      <c r="G396" s="32">
        <v>5.4272</v>
      </c>
      <c r="H396" s="32">
        <v>7.3999999999999996E-2</v>
      </c>
      <c r="I396" s="32" t="s">
        <v>174</v>
      </c>
      <c r="J396" s="32">
        <v>2</v>
      </c>
      <c r="K396" s="32" t="s">
        <v>175</v>
      </c>
      <c r="L396" s="18">
        <f t="shared" si="6"/>
        <v>999999999</v>
      </c>
    </row>
    <row r="397" spans="1:12" ht="15" customHeight="1" x14ac:dyDescent="0.25">
      <c r="A397" s="32" t="s">
        <v>185</v>
      </c>
      <c r="B397" s="32" t="s">
        <v>62</v>
      </c>
      <c r="C397" s="32" t="s">
        <v>154</v>
      </c>
      <c r="D397" s="32">
        <v>100</v>
      </c>
      <c r="E397" s="32">
        <v>249.99</v>
      </c>
      <c r="F397" s="32" t="s">
        <v>181</v>
      </c>
      <c r="G397" s="32">
        <v>5.4272</v>
      </c>
      <c r="H397" s="32">
        <v>7.3999999999999996E-2</v>
      </c>
      <c r="I397" s="32" t="s">
        <v>174</v>
      </c>
      <c r="J397" s="32">
        <v>2</v>
      </c>
      <c r="K397" s="32" t="s">
        <v>175</v>
      </c>
      <c r="L397" s="18">
        <f t="shared" si="6"/>
        <v>999999999</v>
      </c>
    </row>
    <row r="398" spans="1:12" ht="15" customHeight="1" x14ac:dyDescent="0.25">
      <c r="A398" s="32" t="s">
        <v>182</v>
      </c>
      <c r="B398" s="32" t="s">
        <v>62</v>
      </c>
      <c r="C398" s="32" t="s">
        <v>154</v>
      </c>
      <c r="D398" s="32">
        <v>1E-3</v>
      </c>
      <c r="E398" s="32">
        <v>0.5</v>
      </c>
      <c r="F398" s="32" t="s">
        <v>173</v>
      </c>
      <c r="G398" s="32">
        <v>1.3351999999999999</v>
      </c>
      <c r="H398" s="32">
        <v>0.3352</v>
      </c>
      <c r="I398" s="32" t="s">
        <v>174</v>
      </c>
      <c r="J398" s="32">
        <v>2</v>
      </c>
      <c r="K398" s="32" t="s">
        <v>183</v>
      </c>
      <c r="L398" s="18">
        <f t="shared" si="6"/>
        <v>999999999</v>
      </c>
    </row>
    <row r="399" spans="1:12" ht="15" customHeight="1" x14ac:dyDescent="0.25">
      <c r="A399" s="32" t="s">
        <v>182</v>
      </c>
      <c r="B399" s="32" t="s">
        <v>62</v>
      </c>
      <c r="C399" s="32" t="s">
        <v>154</v>
      </c>
      <c r="D399" s="32">
        <v>0.01</v>
      </c>
      <c r="E399" s="32">
        <v>0.5</v>
      </c>
      <c r="F399" s="32" t="s">
        <v>173</v>
      </c>
      <c r="G399" s="32">
        <v>1.43</v>
      </c>
      <c r="H399" s="32">
        <v>0.43</v>
      </c>
      <c r="I399" s="32" t="s">
        <v>174</v>
      </c>
      <c r="J399" s="32">
        <v>2</v>
      </c>
      <c r="K399" s="32" t="s">
        <v>183</v>
      </c>
      <c r="L399" s="18">
        <f t="shared" si="6"/>
        <v>999999999</v>
      </c>
    </row>
    <row r="400" spans="1:12" ht="15" customHeight="1" x14ac:dyDescent="0.25">
      <c r="A400" s="32" t="s">
        <v>182</v>
      </c>
      <c r="B400" s="32" t="s">
        <v>62</v>
      </c>
      <c r="C400" s="32" t="s">
        <v>154</v>
      </c>
      <c r="D400" s="32">
        <v>0.51</v>
      </c>
      <c r="E400" s="32">
        <v>1</v>
      </c>
      <c r="F400" s="32" t="s">
        <v>173</v>
      </c>
      <c r="G400" s="32">
        <v>1.43</v>
      </c>
      <c r="H400" s="32">
        <v>0.43</v>
      </c>
      <c r="I400" s="32" t="s">
        <v>174</v>
      </c>
      <c r="J400" s="32">
        <v>2</v>
      </c>
      <c r="K400" s="32" t="s">
        <v>183</v>
      </c>
      <c r="L400" s="18">
        <f t="shared" si="6"/>
        <v>999999999</v>
      </c>
    </row>
    <row r="401" spans="1:12" ht="15" customHeight="1" x14ac:dyDescent="0.25">
      <c r="A401" s="32" t="s">
        <v>182</v>
      </c>
      <c r="B401" s="32" t="s">
        <v>62</v>
      </c>
      <c r="C401" s="32" t="s">
        <v>154</v>
      </c>
      <c r="D401" s="32">
        <v>1.01</v>
      </c>
      <c r="E401" s="32">
        <v>1.5</v>
      </c>
      <c r="F401" s="32" t="s">
        <v>173</v>
      </c>
      <c r="G401" s="32">
        <v>1.522</v>
      </c>
      <c r="H401" s="32">
        <v>0.52200000000000002</v>
      </c>
      <c r="I401" s="32" t="s">
        <v>174</v>
      </c>
      <c r="J401" s="32">
        <v>2</v>
      </c>
      <c r="K401" s="32" t="s">
        <v>183</v>
      </c>
      <c r="L401" s="18">
        <f t="shared" si="6"/>
        <v>999999999</v>
      </c>
    </row>
    <row r="402" spans="1:12" ht="15" customHeight="1" x14ac:dyDescent="0.25">
      <c r="A402" s="32" t="s">
        <v>182</v>
      </c>
      <c r="B402" s="32" t="s">
        <v>62</v>
      </c>
      <c r="C402" s="32" t="s">
        <v>154</v>
      </c>
      <c r="D402" s="32">
        <v>1.51</v>
      </c>
      <c r="E402" s="32">
        <v>2</v>
      </c>
      <c r="F402" s="32" t="s">
        <v>173</v>
      </c>
      <c r="G402" s="32">
        <v>1.6140000000000001</v>
      </c>
      <c r="H402" s="32">
        <v>0.61399999999999999</v>
      </c>
      <c r="I402" s="32" t="s">
        <v>174</v>
      </c>
      <c r="J402" s="32">
        <v>2</v>
      </c>
      <c r="K402" s="32" t="s">
        <v>183</v>
      </c>
      <c r="L402" s="18">
        <f t="shared" si="6"/>
        <v>999999999</v>
      </c>
    </row>
    <row r="403" spans="1:12" ht="15" customHeight="1" x14ac:dyDescent="0.25">
      <c r="A403" s="32" t="s">
        <v>182</v>
      </c>
      <c r="B403" s="32" t="s">
        <v>62</v>
      </c>
      <c r="C403" s="32" t="s">
        <v>154</v>
      </c>
      <c r="D403" s="32">
        <v>2.0099999999999998</v>
      </c>
      <c r="E403" s="32">
        <v>2.5</v>
      </c>
      <c r="F403" s="32" t="s">
        <v>173</v>
      </c>
      <c r="G403" s="32">
        <v>1.7063999999999999</v>
      </c>
      <c r="H403" s="32">
        <v>0.70640000000000003</v>
      </c>
      <c r="I403" s="32" t="s">
        <v>174</v>
      </c>
      <c r="J403" s="32">
        <v>2</v>
      </c>
      <c r="K403" s="32" t="s">
        <v>183</v>
      </c>
      <c r="L403" s="18">
        <f t="shared" si="6"/>
        <v>999999999</v>
      </c>
    </row>
    <row r="404" spans="1:12" ht="15" customHeight="1" x14ac:dyDescent="0.25">
      <c r="A404" s="32" t="s">
        <v>182</v>
      </c>
      <c r="B404" s="32" t="s">
        <v>62</v>
      </c>
      <c r="C404" s="32" t="s">
        <v>154</v>
      </c>
      <c r="D404" s="32">
        <v>0.01</v>
      </c>
      <c r="E404" s="32">
        <v>0.5</v>
      </c>
      <c r="F404" s="32" t="s">
        <v>173</v>
      </c>
      <c r="G404" s="32">
        <v>1.4812000000000001</v>
      </c>
      <c r="H404" s="32">
        <v>0.48120000000000002</v>
      </c>
      <c r="I404" s="32" t="s">
        <v>174</v>
      </c>
      <c r="J404" s="32">
        <v>2</v>
      </c>
      <c r="K404" s="32" t="s">
        <v>183</v>
      </c>
      <c r="L404" s="18">
        <f t="shared" si="6"/>
        <v>999999999</v>
      </c>
    </row>
    <row r="405" spans="1:12" ht="15" customHeight="1" x14ac:dyDescent="0.25">
      <c r="A405" s="32" t="s">
        <v>182</v>
      </c>
      <c r="B405" s="32" t="s">
        <v>62</v>
      </c>
      <c r="C405" s="32" t="s">
        <v>154</v>
      </c>
      <c r="D405" s="32">
        <v>0.51</v>
      </c>
      <c r="E405" s="32">
        <v>1</v>
      </c>
      <c r="F405" s="32" t="s">
        <v>173</v>
      </c>
      <c r="G405" s="32">
        <v>1.4812000000000001</v>
      </c>
      <c r="H405" s="32">
        <v>0.48120000000000002</v>
      </c>
      <c r="I405" s="32" t="s">
        <v>174</v>
      </c>
      <c r="J405" s="32">
        <v>2</v>
      </c>
      <c r="K405" s="32" t="s">
        <v>183</v>
      </c>
      <c r="L405" s="18">
        <f t="shared" si="6"/>
        <v>999999999</v>
      </c>
    </row>
    <row r="406" spans="1:12" ht="15" customHeight="1" x14ac:dyDescent="0.25">
      <c r="A406" s="32" t="s">
        <v>182</v>
      </c>
      <c r="B406" s="32" t="s">
        <v>62</v>
      </c>
      <c r="C406" s="32" t="s">
        <v>154</v>
      </c>
      <c r="D406" s="32">
        <v>1.01</v>
      </c>
      <c r="E406" s="32">
        <v>1.5</v>
      </c>
      <c r="F406" s="32" t="s">
        <v>173</v>
      </c>
      <c r="G406" s="32">
        <v>1.4812000000000001</v>
      </c>
      <c r="H406" s="32">
        <v>0.48120000000000002</v>
      </c>
      <c r="I406" s="32" t="s">
        <v>174</v>
      </c>
      <c r="J406" s="32">
        <v>2</v>
      </c>
      <c r="K406" s="32" t="s">
        <v>183</v>
      </c>
      <c r="L406" s="18">
        <f t="shared" si="6"/>
        <v>999999999</v>
      </c>
    </row>
    <row r="407" spans="1:12" ht="15" customHeight="1" x14ac:dyDescent="0.25">
      <c r="A407" s="32" t="s">
        <v>182</v>
      </c>
      <c r="B407" s="32" t="s">
        <v>62</v>
      </c>
      <c r="C407" s="32" t="s">
        <v>154</v>
      </c>
      <c r="D407" s="32">
        <v>1.51</v>
      </c>
      <c r="E407" s="32">
        <v>2</v>
      </c>
      <c r="F407" s="32" t="s">
        <v>173</v>
      </c>
      <c r="G407" s="32">
        <v>1.4812000000000001</v>
      </c>
      <c r="H407" s="32">
        <v>0.48120000000000002</v>
      </c>
      <c r="I407" s="32" t="s">
        <v>174</v>
      </c>
      <c r="J407" s="32">
        <v>2</v>
      </c>
      <c r="K407" s="32" t="s">
        <v>183</v>
      </c>
      <c r="L407" s="18">
        <f t="shared" si="6"/>
        <v>999999999</v>
      </c>
    </row>
    <row r="408" spans="1:12" ht="15" customHeight="1" x14ac:dyDescent="0.25">
      <c r="A408" s="32" t="s">
        <v>182</v>
      </c>
      <c r="B408" s="32" t="s">
        <v>62</v>
      </c>
      <c r="C408" s="32" t="s">
        <v>154</v>
      </c>
      <c r="D408" s="32">
        <v>2.0099999999999998</v>
      </c>
      <c r="E408" s="32">
        <v>2.5</v>
      </c>
      <c r="F408" s="32" t="s">
        <v>173</v>
      </c>
      <c r="G408" s="32">
        <v>1.4812000000000001</v>
      </c>
      <c r="H408" s="32">
        <v>0.48120000000000002</v>
      </c>
      <c r="I408" s="32" t="s">
        <v>174</v>
      </c>
      <c r="J408" s="32">
        <v>2</v>
      </c>
      <c r="K408" s="32" t="s">
        <v>183</v>
      </c>
      <c r="L408" s="18">
        <f t="shared" si="6"/>
        <v>999999999</v>
      </c>
    </row>
    <row r="409" spans="1:12" ht="15" customHeight="1" x14ac:dyDescent="0.25">
      <c r="A409" s="32" t="s">
        <v>182</v>
      </c>
      <c r="B409" s="32" t="s">
        <v>62</v>
      </c>
      <c r="C409" s="32" t="s">
        <v>154</v>
      </c>
      <c r="D409" s="32">
        <v>2.5099999999999998</v>
      </c>
      <c r="E409" s="32">
        <v>3</v>
      </c>
      <c r="F409" s="32" t="s">
        <v>173</v>
      </c>
      <c r="G409" s="32">
        <v>1.4812000000000001</v>
      </c>
      <c r="H409" s="32">
        <v>0.48120000000000002</v>
      </c>
      <c r="I409" s="32" t="s">
        <v>174</v>
      </c>
      <c r="J409" s="32">
        <v>2</v>
      </c>
      <c r="K409" s="32" t="s">
        <v>183</v>
      </c>
      <c r="L409" s="18">
        <f t="shared" si="6"/>
        <v>999999999</v>
      </c>
    </row>
    <row r="410" spans="1:12" ht="15" customHeight="1" x14ac:dyDescent="0.25">
      <c r="A410" s="32" t="s">
        <v>182</v>
      </c>
      <c r="B410" s="32" t="s">
        <v>62</v>
      </c>
      <c r="C410" s="32" t="s">
        <v>154</v>
      </c>
      <c r="D410" s="32">
        <v>3.01</v>
      </c>
      <c r="E410" s="32">
        <v>3.5</v>
      </c>
      <c r="F410" s="32" t="s">
        <v>173</v>
      </c>
      <c r="G410" s="32">
        <v>1.5064</v>
      </c>
      <c r="H410" s="32">
        <v>0.50639999999999996</v>
      </c>
      <c r="I410" s="32" t="s">
        <v>174</v>
      </c>
      <c r="J410" s="32">
        <v>2</v>
      </c>
      <c r="K410" s="32" t="s">
        <v>183</v>
      </c>
      <c r="L410" s="18">
        <f t="shared" si="6"/>
        <v>999999999</v>
      </c>
    </row>
    <row r="411" spans="1:12" ht="15" customHeight="1" x14ac:dyDescent="0.25">
      <c r="A411" s="32" t="s">
        <v>182</v>
      </c>
      <c r="B411" s="32" t="s">
        <v>62</v>
      </c>
      <c r="C411" s="32" t="s">
        <v>154</v>
      </c>
      <c r="D411" s="32">
        <v>3.51</v>
      </c>
      <c r="E411" s="32">
        <v>4</v>
      </c>
      <c r="F411" s="32" t="s">
        <v>173</v>
      </c>
      <c r="G411" s="32">
        <v>1.5491999999999999</v>
      </c>
      <c r="H411" s="32">
        <v>0.54920000000000002</v>
      </c>
      <c r="I411" s="32" t="s">
        <v>174</v>
      </c>
      <c r="J411" s="32">
        <v>2</v>
      </c>
      <c r="K411" s="32" t="s">
        <v>183</v>
      </c>
      <c r="L411" s="18">
        <f t="shared" si="6"/>
        <v>999999999</v>
      </c>
    </row>
    <row r="412" spans="1:12" ht="15" customHeight="1" x14ac:dyDescent="0.25">
      <c r="A412" s="32" t="s">
        <v>182</v>
      </c>
      <c r="B412" s="32" t="s">
        <v>62</v>
      </c>
      <c r="C412" s="32" t="s">
        <v>154</v>
      </c>
      <c r="D412" s="32">
        <v>4.01</v>
      </c>
      <c r="E412" s="32">
        <v>4.5</v>
      </c>
      <c r="F412" s="32" t="s">
        <v>173</v>
      </c>
      <c r="G412" s="32">
        <v>1.5920000000000001</v>
      </c>
      <c r="H412" s="32">
        <v>0.59199999999999997</v>
      </c>
      <c r="I412" s="32" t="s">
        <v>174</v>
      </c>
      <c r="J412" s="32">
        <v>2</v>
      </c>
      <c r="K412" s="32" t="s">
        <v>183</v>
      </c>
      <c r="L412" s="18">
        <f t="shared" si="6"/>
        <v>999999999</v>
      </c>
    </row>
    <row r="413" spans="1:12" ht="15" customHeight="1" x14ac:dyDescent="0.25">
      <c r="A413" s="32" t="s">
        <v>182</v>
      </c>
      <c r="B413" s="32" t="s">
        <v>62</v>
      </c>
      <c r="C413" s="32" t="s">
        <v>154</v>
      </c>
      <c r="D413" s="32">
        <v>4.51</v>
      </c>
      <c r="E413" s="32">
        <v>5</v>
      </c>
      <c r="F413" s="32" t="s">
        <v>173</v>
      </c>
      <c r="G413" s="32">
        <v>1.6348</v>
      </c>
      <c r="H413" s="32">
        <v>0.63480000000000003</v>
      </c>
      <c r="I413" s="32" t="s">
        <v>174</v>
      </c>
      <c r="J413" s="32">
        <v>2</v>
      </c>
      <c r="K413" s="32" t="s">
        <v>183</v>
      </c>
      <c r="L413" s="18">
        <f t="shared" si="6"/>
        <v>999999999</v>
      </c>
    </row>
    <row r="414" spans="1:12" ht="15" customHeight="1" x14ac:dyDescent="0.25">
      <c r="A414" s="32" t="s">
        <v>182</v>
      </c>
      <c r="B414" s="32" t="s">
        <v>62</v>
      </c>
      <c r="C414" s="32" t="s">
        <v>154</v>
      </c>
      <c r="D414" s="32">
        <v>5.01</v>
      </c>
      <c r="E414" s="32">
        <v>5.5</v>
      </c>
      <c r="F414" s="32" t="s">
        <v>173</v>
      </c>
      <c r="G414" s="32">
        <v>1.6776</v>
      </c>
      <c r="H414" s="32">
        <v>0.67759999999999998</v>
      </c>
      <c r="I414" s="32" t="s">
        <v>174</v>
      </c>
      <c r="J414" s="32">
        <v>2</v>
      </c>
      <c r="K414" s="32" t="s">
        <v>183</v>
      </c>
      <c r="L414" s="18">
        <f t="shared" si="6"/>
        <v>999999999</v>
      </c>
    </row>
    <row r="415" spans="1:12" ht="15" customHeight="1" x14ac:dyDescent="0.25">
      <c r="A415" s="32" t="s">
        <v>182</v>
      </c>
      <c r="B415" s="32" t="s">
        <v>62</v>
      </c>
      <c r="C415" s="32" t="s">
        <v>154</v>
      </c>
      <c r="D415" s="32">
        <v>5.51</v>
      </c>
      <c r="E415" s="32">
        <v>6</v>
      </c>
      <c r="F415" s="32" t="s">
        <v>173</v>
      </c>
      <c r="G415" s="32">
        <v>1.7203999999999999</v>
      </c>
      <c r="H415" s="32">
        <v>0.72040000000000004</v>
      </c>
      <c r="I415" s="32" t="s">
        <v>174</v>
      </c>
      <c r="J415" s="32">
        <v>2</v>
      </c>
      <c r="K415" s="32" t="s">
        <v>183</v>
      </c>
      <c r="L415" s="18">
        <f t="shared" si="6"/>
        <v>999999999</v>
      </c>
    </row>
    <row r="416" spans="1:12" ht="15" customHeight="1" x14ac:dyDescent="0.25">
      <c r="A416" s="32" t="s">
        <v>182</v>
      </c>
      <c r="B416" s="32" t="s">
        <v>62</v>
      </c>
      <c r="C416" s="32" t="s">
        <v>154</v>
      </c>
      <c r="D416" s="32">
        <v>6.01</v>
      </c>
      <c r="E416" s="32">
        <v>6.5</v>
      </c>
      <c r="F416" s="32" t="s">
        <v>173</v>
      </c>
      <c r="G416" s="32">
        <v>1.7632000000000001</v>
      </c>
      <c r="H416" s="32">
        <v>0.76319999999999999</v>
      </c>
      <c r="I416" s="32" t="s">
        <v>174</v>
      </c>
      <c r="J416" s="32">
        <v>2</v>
      </c>
      <c r="K416" s="32" t="s">
        <v>183</v>
      </c>
      <c r="L416" s="18">
        <f t="shared" si="6"/>
        <v>999999999</v>
      </c>
    </row>
    <row r="417" spans="1:12" ht="15" customHeight="1" x14ac:dyDescent="0.25">
      <c r="A417" s="32" t="s">
        <v>182</v>
      </c>
      <c r="B417" s="32" t="s">
        <v>62</v>
      </c>
      <c r="C417" s="32" t="s">
        <v>154</v>
      </c>
      <c r="D417" s="32">
        <v>6.51</v>
      </c>
      <c r="E417" s="32">
        <v>7</v>
      </c>
      <c r="F417" s="32" t="s">
        <v>173</v>
      </c>
      <c r="G417" s="32">
        <v>1.806</v>
      </c>
      <c r="H417" s="32">
        <v>0.80600000000000005</v>
      </c>
      <c r="I417" s="32" t="s">
        <v>174</v>
      </c>
      <c r="J417" s="32">
        <v>2</v>
      </c>
      <c r="K417" s="32" t="s">
        <v>183</v>
      </c>
      <c r="L417" s="18">
        <f t="shared" si="6"/>
        <v>999999999</v>
      </c>
    </row>
    <row r="418" spans="1:12" ht="15" customHeight="1" x14ac:dyDescent="0.25">
      <c r="A418" s="32" t="s">
        <v>182</v>
      </c>
      <c r="B418" s="32" t="s">
        <v>62</v>
      </c>
      <c r="C418" s="32" t="s">
        <v>154</v>
      </c>
      <c r="D418" s="32">
        <v>7.01</v>
      </c>
      <c r="E418" s="32">
        <v>7.5</v>
      </c>
      <c r="F418" s="32" t="s">
        <v>173</v>
      </c>
      <c r="G418" s="32">
        <v>1.8488</v>
      </c>
      <c r="H418" s="32">
        <v>0.8488</v>
      </c>
      <c r="I418" s="32" t="s">
        <v>174</v>
      </c>
      <c r="J418" s="32">
        <v>2</v>
      </c>
      <c r="K418" s="32" t="s">
        <v>183</v>
      </c>
      <c r="L418" s="18">
        <f t="shared" si="6"/>
        <v>999999999</v>
      </c>
    </row>
    <row r="419" spans="1:12" ht="15" customHeight="1" x14ac:dyDescent="0.25">
      <c r="A419" s="32" t="s">
        <v>182</v>
      </c>
      <c r="B419" s="32" t="s">
        <v>62</v>
      </c>
      <c r="C419" s="32" t="s">
        <v>154</v>
      </c>
      <c r="D419" s="32">
        <v>7.51</v>
      </c>
      <c r="E419" s="32">
        <v>8</v>
      </c>
      <c r="F419" s="32" t="s">
        <v>173</v>
      </c>
      <c r="G419" s="32">
        <v>1.8915999999999999</v>
      </c>
      <c r="H419" s="32">
        <v>0.89159999999999995</v>
      </c>
      <c r="I419" s="32" t="s">
        <v>174</v>
      </c>
      <c r="J419" s="32">
        <v>2</v>
      </c>
      <c r="K419" s="32" t="s">
        <v>183</v>
      </c>
      <c r="L419" s="18">
        <f t="shared" si="6"/>
        <v>999999999</v>
      </c>
    </row>
    <row r="420" spans="1:12" ht="15" customHeight="1" x14ac:dyDescent="0.25">
      <c r="A420" s="32" t="s">
        <v>182</v>
      </c>
      <c r="B420" s="32" t="s">
        <v>62</v>
      </c>
      <c r="C420" s="32" t="s">
        <v>154</v>
      </c>
      <c r="D420" s="32">
        <v>8.01</v>
      </c>
      <c r="E420" s="32">
        <v>8.5</v>
      </c>
      <c r="F420" s="32" t="s">
        <v>173</v>
      </c>
      <c r="G420" s="32">
        <v>1.9343999999999999</v>
      </c>
      <c r="H420" s="32">
        <v>0.93440000000000001</v>
      </c>
      <c r="I420" s="32" t="s">
        <v>174</v>
      </c>
      <c r="J420" s="32">
        <v>2</v>
      </c>
      <c r="K420" s="32" t="s">
        <v>183</v>
      </c>
      <c r="L420" s="18">
        <f t="shared" si="6"/>
        <v>999999999</v>
      </c>
    </row>
    <row r="421" spans="1:12" ht="15" customHeight="1" x14ac:dyDescent="0.25">
      <c r="A421" s="32" t="s">
        <v>182</v>
      </c>
      <c r="B421" s="32" t="s">
        <v>62</v>
      </c>
      <c r="C421" s="32" t="s">
        <v>154</v>
      </c>
      <c r="D421" s="32">
        <v>8.51</v>
      </c>
      <c r="E421" s="32">
        <v>9</v>
      </c>
      <c r="F421" s="32" t="s">
        <v>173</v>
      </c>
      <c r="G421" s="32">
        <v>1.9772000000000001</v>
      </c>
      <c r="H421" s="32">
        <v>0.97719999999999996</v>
      </c>
      <c r="I421" s="32" t="s">
        <v>174</v>
      </c>
      <c r="J421" s="32">
        <v>2</v>
      </c>
      <c r="K421" s="32" t="s">
        <v>183</v>
      </c>
      <c r="L421" s="18">
        <f t="shared" si="6"/>
        <v>999999999</v>
      </c>
    </row>
    <row r="422" spans="1:12" ht="15" customHeight="1" x14ac:dyDescent="0.25">
      <c r="A422" s="32" t="s">
        <v>182</v>
      </c>
      <c r="B422" s="32" t="s">
        <v>62</v>
      </c>
      <c r="C422" s="32" t="s">
        <v>154</v>
      </c>
      <c r="D422" s="32">
        <v>9.01</v>
      </c>
      <c r="E422" s="32">
        <v>9.5</v>
      </c>
      <c r="F422" s="32" t="s">
        <v>173</v>
      </c>
      <c r="G422" s="32">
        <v>3.02</v>
      </c>
      <c r="H422" s="32">
        <v>1.02</v>
      </c>
      <c r="I422" s="32" t="s">
        <v>174</v>
      </c>
      <c r="J422" s="32">
        <v>2</v>
      </c>
      <c r="K422" s="32" t="s">
        <v>183</v>
      </c>
      <c r="L422" s="18">
        <f t="shared" si="6"/>
        <v>999999999</v>
      </c>
    </row>
    <row r="423" spans="1:12" ht="15" customHeight="1" x14ac:dyDescent="0.25">
      <c r="A423" s="32" t="s">
        <v>182</v>
      </c>
      <c r="B423" s="32" t="s">
        <v>62</v>
      </c>
      <c r="C423" s="32" t="s">
        <v>154</v>
      </c>
      <c r="D423" s="32">
        <v>9.51</v>
      </c>
      <c r="E423" s="32">
        <v>10</v>
      </c>
      <c r="F423" s="32" t="s">
        <v>173</v>
      </c>
      <c r="G423" s="32">
        <v>3.0628000000000002</v>
      </c>
      <c r="H423" s="32">
        <v>1.0628</v>
      </c>
      <c r="I423" s="32" t="s">
        <v>174</v>
      </c>
      <c r="J423" s="32">
        <v>2</v>
      </c>
      <c r="K423" s="32" t="s">
        <v>183</v>
      </c>
      <c r="L423" s="18">
        <f t="shared" si="6"/>
        <v>999999999</v>
      </c>
    </row>
    <row r="424" spans="1:12" ht="15" customHeight="1" x14ac:dyDescent="0.25">
      <c r="A424" s="32" t="s">
        <v>182</v>
      </c>
      <c r="B424" s="32" t="s">
        <v>62</v>
      </c>
      <c r="C424" s="32" t="s">
        <v>154</v>
      </c>
      <c r="D424" s="32">
        <v>10.01</v>
      </c>
      <c r="E424" s="32">
        <v>10.5</v>
      </c>
      <c r="F424" s="32" t="s">
        <v>173</v>
      </c>
      <c r="G424" s="32">
        <v>3.1027999999999998</v>
      </c>
      <c r="H424" s="32">
        <v>1.1028</v>
      </c>
      <c r="I424" s="32" t="s">
        <v>174</v>
      </c>
      <c r="J424" s="32">
        <v>2</v>
      </c>
      <c r="K424" s="32" t="s">
        <v>183</v>
      </c>
      <c r="L424" s="18">
        <f t="shared" si="6"/>
        <v>999999999</v>
      </c>
    </row>
    <row r="425" spans="1:12" ht="15" customHeight="1" x14ac:dyDescent="0.25">
      <c r="A425" s="32" t="s">
        <v>182</v>
      </c>
      <c r="B425" s="32" t="s">
        <v>62</v>
      </c>
      <c r="C425" s="32" t="s">
        <v>154</v>
      </c>
      <c r="D425" s="32">
        <v>10.51</v>
      </c>
      <c r="E425" s="32">
        <v>11</v>
      </c>
      <c r="F425" s="32" t="s">
        <v>173</v>
      </c>
      <c r="G425" s="32">
        <v>3.1427999999999998</v>
      </c>
      <c r="H425" s="32">
        <v>1.1428</v>
      </c>
      <c r="I425" s="32" t="s">
        <v>174</v>
      </c>
      <c r="J425" s="32">
        <v>2</v>
      </c>
      <c r="K425" s="32" t="s">
        <v>183</v>
      </c>
      <c r="L425" s="18">
        <f t="shared" si="6"/>
        <v>999999999</v>
      </c>
    </row>
    <row r="426" spans="1:12" ht="15" customHeight="1" x14ac:dyDescent="0.25">
      <c r="A426" s="32" t="s">
        <v>182</v>
      </c>
      <c r="B426" s="32" t="s">
        <v>62</v>
      </c>
      <c r="C426" s="32" t="s">
        <v>154</v>
      </c>
      <c r="D426" s="32">
        <v>11.01</v>
      </c>
      <c r="E426" s="32">
        <v>11.5</v>
      </c>
      <c r="F426" s="32" t="s">
        <v>173</v>
      </c>
      <c r="G426" s="32">
        <v>3.1827999999999999</v>
      </c>
      <c r="H426" s="32">
        <v>1.1828000000000001</v>
      </c>
      <c r="I426" s="32" t="s">
        <v>174</v>
      </c>
      <c r="J426" s="32">
        <v>2</v>
      </c>
      <c r="K426" s="32" t="s">
        <v>183</v>
      </c>
      <c r="L426" s="18">
        <f t="shared" si="6"/>
        <v>999999999</v>
      </c>
    </row>
    <row r="427" spans="1:12" ht="15" customHeight="1" x14ac:dyDescent="0.25">
      <c r="A427" s="32" t="s">
        <v>182</v>
      </c>
      <c r="B427" s="32" t="s">
        <v>62</v>
      </c>
      <c r="C427" s="32" t="s">
        <v>154</v>
      </c>
      <c r="D427" s="32">
        <v>11.51</v>
      </c>
      <c r="E427" s="32">
        <v>12</v>
      </c>
      <c r="F427" s="32" t="s">
        <v>173</v>
      </c>
      <c r="G427" s="32">
        <v>3.2227999999999999</v>
      </c>
      <c r="H427" s="32">
        <v>1.2228000000000001</v>
      </c>
      <c r="I427" s="32" t="s">
        <v>174</v>
      </c>
      <c r="J427" s="32">
        <v>2</v>
      </c>
      <c r="K427" s="32" t="s">
        <v>183</v>
      </c>
      <c r="L427" s="18">
        <f t="shared" si="6"/>
        <v>999999999</v>
      </c>
    </row>
    <row r="428" spans="1:12" ht="15" customHeight="1" x14ac:dyDescent="0.25">
      <c r="A428" s="32" t="s">
        <v>182</v>
      </c>
      <c r="B428" s="32" t="s">
        <v>62</v>
      </c>
      <c r="C428" s="32" t="s">
        <v>154</v>
      </c>
      <c r="D428" s="32">
        <v>12.01</v>
      </c>
      <c r="E428" s="32">
        <v>12.5</v>
      </c>
      <c r="F428" s="32" t="s">
        <v>173</v>
      </c>
      <c r="G428" s="32">
        <v>3.2627999999999999</v>
      </c>
      <c r="H428" s="32">
        <v>1.2627999999999999</v>
      </c>
      <c r="I428" s="32" t="s">
        <v>174</v>
      </c>
      <c r="J428" s="32">
        <v>2</v>
      </c>
      <c r="K428" s="32" t="s">
        <v>183</v>
      </c>
      <c r="L428" s="18">
        <f t="shared" si="6"/>
        <v>999999999</v>
      </c>
    </row>
    <row r="429" spans="1:12" ht="15" customHeight="1" x14ac:dyDescent="0.25">
      <c r="A429" s="32" t="s">
        <v>182</v>
      </c>
      <c r="B429" s="32" t="s">
        <v>62</v>
      </c>
      <c r="C429" s="32" t="s">
        <v>154</v>
      </c>
      <c r="D429" s="32">
        <v>12.51</v>
      </c>
      <c r="E429" s="32">
        <v>13</v>
      </c>
      <c r="F429" s="32" t="s">
        <v>173</v>
      </c>
      <c r="G429" s="32">
        <v>3.3028</v>
      </c>
      <c r="H429" s="32">
        <v>1.3028</v>
      </c>
      <c r="I429" s="32" t="s">
        <v>174</v>
      </c>
      <c r="J429" s="32">
        <v>2</v>
      </c>
      <c r="K429" s="32" t="s">
        <v>183</v>
      </c>
      <c r="L429" s="18">
        <f t="shared" si="6"/>
        <v>999999999</v>
      </c>
    </row>
    <row r="430" spans="1:12" ht="15" customHeight="1" x14ac:dyDescent="0.25">
      <c r="A430" s="32" t="s">
        <v>182</v>
      </c>
      <c r="B430" s="32" t="s">
        <v>62</v>
      </c>
      <c r="C430" s="32" t="s">
        <v>154</v>
      </c>
      <c r="D430" s="32">
        <v>13.01</v>
      </c>
      <c r="E430" s="32">
        <v>13.5</v>
      </c>
      <c r="F430" s="32" t="s">
        <v>173</v>
      </c>
      <c r="G430" s="32">
        <v>3.3428</v>
      </c>
      <c r="H430" s="32">
        <v>1.3428</v>
      </c>
      <c r="I430" s="32" t="s">
        <v>174</v>
      </c>
      <c r="J430" s="32">
        <v>2</v>
      </c>
      <c r="K430" s="32" t="s">
        <v>183</v>
      </c>
      <c r="L430" s="18">
        <f t="shared" si="6"/>
        <v>999999999</v>
      </c>
    </row>
    <row r="431" spans="1:12" ht="15" customHeight="1" x14ac:dyDescent="0.25">
      <c r="A431" s="32" t="s">
        <v>182</v>
      </c>
      <c r="B431" s="32" t="s">
        <v>62</v>
      </c>
      <c r="C431" s="32" t="s">
        <v>154</v>
      </c>
      <c r="D431" s="32">
        <v>13.51</v>
      </c>
      <c r="E431" s="32">
        <v>14</v>
      </c>
      <c r="F431" s="32" t="s">
        <v>173</v>
      </c>
      <c r="G431" s="32">
        <v>3.3828</v>
      </c>
      <c r="H431" s="32">
        <v>1.3828</v>
      </c>
      <c r="I431" s="32" t="s">
        <v>174</v>
      </c>
      <c r="J431" s="32">
        <v>2</v>
      </c>
      <c r="K431" s="32" t="s">
        <v>183</v>
      </c>
      <c r="L431" s="18">
        <f t="shared" si="6"/>
        <v>999999999</v>
      </c>
    </row>
    <row r="432" spans="1:12" ht="15" customHeight="1" x14ac:dyDescent="0.25">
      <c r="A432" s="32" t="s">
        <v>182</v>
      </c>
      <c r="B432" s="32" t="s">
        <v>62</v>
      </c>
      <c r="C432" s="32" t="s">
        <v>154</v>
      </c>
      <c r="D432" s="32">
        <v>14.01</v>
      </c>
      <c r="E432" s="32">
        <v>14.5</v>
      </c>
      <c r="F432" s="32" t="s">
        <v>173</v>
      </c>
      <c r="G432" s="32">
        <v>3.4228000000000001</v>
      </c>
      <c r="H432" s="32">
        <v>1.4228000000000001</v>
      </c>
      <c r="I432" s="32" t="s">
        <v>174</v>
      </c>
      <c r="J432" s="32">
        <v>2</v>
      </c>
      <c r="K432" s="32" t="s">
        <v>183</v>
      </c>
      <c r="L432" s="18">
        <f t="shared" si="6"/>
        <v>999999999</v>
      </c>
    </row>
    <row r="433" spans="1:12" ht="15" customHeight="1" x14ac:dyDescent="0.25">
      <c r="A433" s="32" t="s">
        <v>182</v>
      </c>
      <c r="B433" s="32" t="s">
        <v>62</v>
      </c>
      <c r="C433" s="32" t="s">
        <v>154</v>
      </c>
      <c r="D433" s="32">
        <v>14.51</v>
      </c>
      <c r="E433" s="32">
        <v>15</v>
      </c>
      <c r="F433" s="32" t="s">
        <v>173</v>
      </c>
      <c r="G433" s="32">
        <v>3.4628000000000001</v>
      </c>
      <c r="H433" s="32">
        <v>1.4628000000000001</v>
      </c>
      <c r="I433" s="32" t="s">
        <v>174</v>
      </c>
      <c r="J433" s="32">
        <v>2</v>
      </c>
      <c r="K433" s="32" t="s">
        <v>183</v>
      </c>
      <c r="L433" s="18">
        <f t="shared" si="6"/>
        <v>999999999</v>
      </c>
    </row>
    <row r="434" spans="1:12" ht="15" customHeight="1" x14ac:dyDescent="0.25">
      <c r="A434" s="32" t="s">
        <v>182</v>
      </c>
      <c r="B434" s="32" t="s">
        <v>62</v>
      </c>
      <c r="C434" s="32" t="s">
        <v>154</v>
      </c>
      <c r="D434" s="32">
        <v>15.01</v>
      </c>
      <c r="E434" s="32">
        <v>15.5</v>
      </c>
      <c r="F434" s="32" t="s">
        <v>173</v>
      </c>
      <c r="G434" s="32">
        <v>3.5028000000000001</v>
      </c>
      <c r="H434" s="32">
        <v>1.5027999999999999</v>
      </c>
      <c r="I434" s="32" t="s">
        <v>174</v>
      </c>
      <c r="J434" s="32">
        <v>2</v>
      </c>
      <c r="K434" s="32" t="s">
        <v>183</v>
      </c>
      <c r="L434" s="18">
        <f t="shared" si="6"/>
        <v>999999999</v>
      </c>
    </row>
    <row r="435" spans="1:12" ht="15" customHeight="1" x14ac:dyDescent="0.25">
      <c r="A435" s="32" t="s">
        <v>182</v>
      </c>
      <c r="B435" s="32" t="s">
        <v>62</v>
      </c>
      <c r="C435" s="32" t="s">
        <v>154</v>
      </c>
      <c r="D435" s="32">
        <v>15.51</v>
      </c>
      <c r="E435" s="32">
        <v>16</v>
      </c>
      <c r="F435" s="32" t="s">
        <v>173</v>
      </c>
      <c r="G435" s="32">
        <v>3.5428000000000002</v>
      </c>
      <c r="H435" s="32">
        <v>1.5427999999999999</v>
      </c>
      <c r="I435" s="32" t="s">
        <v>174</v>
      </c>
      <c r="J435" s="32">
        <v>2</v>
      </c>
      <c r="K435" s="32" t="s">
        <v>183</v>
      </c>
      <c r="L435" s="18">
        <f t="shared" si="6"/>
        <v>999999999</v>
      </c>
    </row>
    <row r="436" spans="1:12" ht="15" customHeight="1" x14ac:dyDescent="0.25">
      <c r="A436" s="32" t="s">
        <v>182</v>
      </c>
      <c r="B436" s="32" t="s">
        <v>62</v>
      </c>
      <c r="C436" s="32" t="s">
        <v>154</v>
      </c>
      <c r="D436" s="32">
        <v>16.010000000000002</v>
      </c>
      <c r="E436" s="32">
        <v>16.5</v>
      </c>
      <c r="F436" s="32" t="s">
        <v>173</v>
      </c>
      <c r="G436" s="32">
        <v>3.552</v>
      </c>
      <c r="H436" s="32">
        <v>1.552</v>
      </c>
      <c r="I436" s="32" t="s">
        <v>174</v>
      </c>
      <c r="J436" s="32">
        <v>2</v>
      </c>
      <c r="K436" s="32" t="s">
        <v>183</v>
      </c>
      <c r="L436" s="18">
        <f t="shared" si="6"/>
        <v>999999999</v>
      </c>
    </row>
    <row r="437" spans="1:12" ht="15" customHeight="1" x14ac:dyDescent="0.25">
      <c r="A437" s="32" t="s">
        <v>182</v>
      </c>
      <c r="B437" s="32" t="s">
        <v>62</v>
      </c>
      <c r="C437" s="32" t="s">
        <v>154</v>
      </c>
      <c r="D437" s="32">
        <v>16.510000000000002</v>
      </c>
      <c r="E437" s="32">
        <v>17</v>
      </c>
      <c r="F437" s="32" t="s">
        <v>173</v>
      </c>
      <c r="G437" s="32">
        <v>3.552</v>
      </c>
      <c r="H437" s="32">
        <v>1.552</v>
      </c>
      <c r="I437" s="32" t="s">
        <v>174</v>
      </c>
      <c r="J437" s="32">
        <v>2</v>
      </c>
      <c r="K437" s="32" t="s">
        <v>183</v>
      </c>
      <c r="L437" s="18">
        <f t="shared" si="6"/>
        <v>999999999</v>
      </c>
    </row>
    <row r="438" spans="1:12" ht="15" customHeight="1" x14ac:dyDescent="0.25">
      <c r="A438" s="32" t="s">
        <v>182</v>
      </c>
      <c r="B438" s="32" t="s">
        <v>62</v>
      </c>
      <c r="C438" s="32" t="s">
        <v>154</v>
      </c>
      <c r="D438" s="32">
        <v>17.010000000000002</v>
      </c>
      <c r="E438" s="32">
        <v>17.5</v>
      </c>
      <c r="F438" s="32" t="s">
        <v>173</v>
      </c>
      <c r="G438" s="32">
        <v>3.552</v>
      </c>
      <c r="H438" s="32">
        <v>1.552</v>
      </c>
      <c r="I438" s="32" t="s">
        <v>174</v>
      </c>
      <c r="J438" s="32">
        <v>2</v>
      </c>
      <c r="K438" s="32" t="s">
        <v>183</v>
      </c>
      <c r="L438" s="18">
        <f t="shared" si="6"/>
        <v>999999999</v>
      </c>
    </row>
    <row r="439" spans="1:12" ht="15" customHeight="1" x14ac:dyDescent="0.25">
      <c r="A439" s="32" t="s">
        <v>182</v>
      </c>
      <c r="B439" s="32" t="s">
        <v>62</v>
      </c>
      <c r="C439" s="32" t="s">
        <v>154</v>
      </c>
      <c r="D439" s="32">
        <v>17.510000000000002</v>
      </c>
      <c r="E439" s="32">
        <v>18</v>
      </c>
      <c r="F439" s="32" t="s">
        <v>173</v>
      </c>
      <c r="G439" s="32">
        <v>3.552</v>
      </c>
      <c r="H439" s="32">
        <v>1.552</v>
      </c>
      <c r="I439" s="32" t="s">
        <v>174</v>
      </c>
      <c r="J439" s="32">
        <v>2</v>
      </c>
      <c r="K439" s="32" t="s">
        <v>183</v>
      </c>
      <c r="L439" s="18">
        <f t="shared" si="6"/>
        <v>999999999</v>
      </c>
    </row>
    <row r="440" spans="1:12" ht="15" customHeight="1" x14ac:dyDescent="0.25">
      <c r="A440" s="32" t="s">
        <v>182</v>
      </c>
      <c r="B440" s="32" t="s">
        <v>62</v>
      </c>
      <c r="C440" s="32" t="s">
        <v>154</v>
      </c>
      <c r="D440" s="32">
        <v>18.010000000000002</v>
      </c>
      <c r="E440" s="32">
        <v>18.5</v>
      </c>
      <c r="F440" s="32" t="s">
        <v>173</v>
      </c>
      <c r="G440" s="32">
        <v>3.552</v>
      </c>
      <c r="H440" s="32">
        <v>1.552</v>
      </c>
      <c r="I440" s="32" t="s">
        <v>174</v>
      </c>
      <c r="J440" s="32">
        <v>2</v>
      </c>
      <c r="K440" s="32" t="s">
        <v>183</v>
      </c>
      <c r="L440" s="18">
        <f t="shared" si="6"/>
        <v>999999999</v>
      </c>
    </row>
    <row r="441" spans="1:12" ht="15" customHeight="1" x14ac:dyDescent="0.25">
      <c r="A441" s="32" t="s">
        <v>182</v>
      </c>
      <c r="B441" s="32" t="s">
        <v>62</v>
      </c>
      <c r="C441" s="32" t="s">
        <v>154</v>
      </c>
      <c r="D441" s="32">
        <v>18.510000000000002</v>
      </c>
      <c r="E441" s="32">
        <v>19</v>
      </c>
      <c r="F441" s="32" t="s">
        <v>173</v>
      </c>
      <c r="G441" s="32">
        <v>3.552</v>
      </c>
      <c r="H441" s="32">
        <v>1.552</v>
      </c>
      <c r="I441" s="32" t="s">
        <v>174</v>
      </c>
      <c r="J441" s="32">
        <v>2</v>
      </c>
      <c r="K441" s="32" t="s">
        <v>183</v>
      </c>
      <c r="L441" s="18">
        <f t="shared" si="6"/>
        <v>999999999</v>
      </c>
    </row>
    <row r="442" spans="1:12" ht="15" customHeight="1" x14ac:dyDescent="0.25">
      <c r="A442" s="32" t="s">
        <v>182</v>
      </c>
      <c r="B442" s="32" t="s">
        <v>62</v>
      </c>
      <c r="C442" s="32" t="s">
        <v>154</v>
      </c>
      <c r="D442" s="32">
        <v>19.010000000000002</v>
      </c>
      <c r="E442" s="32">
        <v>19.5</v>
      </c>
      <c r="F442" s="32" t="s">
        <v>173</v>
      </c>
      <c r="G442" s="32">
        <v>3.552</v>
      </c>
      <c r="H442" s="32">
        <v>1.552</v>
      </c>
      <c r="I442" s="32" t="s">
        <v>174</v>
      </c>
      <c r="J442" s="32">
        <v>2</v>
      </c>
      <c r="K442" s="32" t="s">
        <v>183</v>
      </c>
      <c r="L442" s="18">
        <f t="shared" si="6"/>
        <v>999999999</v>
      </c>
    </row>
    <row r="443" spans="1:12" ht="15" customHeight="1" x14ac:dyDescent="0.25">
      <c r="A443" s="32" t="s">
        <v>182</v>
      </c>
      <c r="B443" s="32" t="s">
        <v>62</v>
      </c>
      <c r="C443" s="32" t="s">
        <v>154</v>
      </c>
      <c r="D443" s="32">
        <v>19.510000000000002</v>
      </c>
      <c r="E443" s="32">
        <v>20</v>
      </c>
      <c r="F443" s="32" t="s">
        <v>173</v>
      </c>
      <c r="G443" s="32">
        <v>3.552</v>
      </c>
      <c r="H443" s="32">
        <v>1.552</v>
      </c>
      <c r="I443" s="32" t="s">
        <v>174</v>
      </c>
      <c r="J443" s="32">
        <v>2</v>
      </c>
      <c r="K443" s="32" t="s">
        <v>183</v>
      </c>
      <c r="L443" s="18">
        <f t="shared" si="6"/>
        <v>999999999</v>
      </c>
    </row>
    <row r="444" spans="1:12" ht="15" customHeight="1" x14ac:dyDescent="0.25">
      <c r="A444" s="32" t="s">
        <v>182</v>
      </c>
      <c r="B444" s="32" t="s">
        <v>62</v>
      </c>
      <c r="C444" s="32" t="s">
        <v>154</v>
      </c>
      <c r="D444" s="32">
        <v>20.010000000000002</v>
      </c>
      <c r="E444" s="32">
        <v>20.5</v>
      </c>
      <c r="F444" s="32" t="s">
        <v>173</v>
      </c>
      <c r="G444" s="32">
        <v>3.552</v>
      </c>
      <c r="H444" s="32">
        <v>1.552</v>
      </c>
      <c r="I444" s="32" t="s">
        <v>174</v>
      </c>
      <c r="J444" s="32">
        <v>2</v>
      </c>
      <c r="K444" s="32" t="s">
        <v>183</v>
      </c>
      <c r="L444" s="18">
        <f t="shared" si="6"/>
        <v>999999999</v>
      </c>
    </row>
    <row r="445" spans="1:12" ht="15" customHeight="1" x14ac:dyDescent="0.25">
      <c r="A445" s="32" t="s">
        <v>182</v>
      </c>
      <c r="B445" s="32" t="s">
        <v>62</v>
      </c>
      <c r="C445" s="32" t="s">
        <v>154</v>
      </c>
      <c r="D445" s="32">
        <v>20.51</v>
      </c>
      <c r="E445" s="32">
        <v>21</v>
      </c>
      <c r="F445" s="32" t="s">
        <v>173</v>
      </c>
      <c r="G445" s="32">
        <v>3.552</v>
      </c>
      <c r="H445" s="32">
        <v>1.552</v>
      </c>
      <c r="I445" s="32" t="s">
        <v>174</v>
      </c>
      <c r="J445" s="32">
        <v>2</v>
      </c>
      <c r="K445" s="32" t="s">
        <v>183</v>
      </c>
      <c r="L445" s="18">
        <f t="shared" si="6"/>
        <v>999999999</v>
      </c>
    </row>
    <row r="446" spans="1:12" ht="15" customHeight="1" x14ac:dyDescent="0.25">
      <c r="A446" s="32" t="s">
        <v>182</v>
      </c>
      <c r="B446" s="32" t="s">
        <v>62</v>
      </c>
      <c r="C446" s="32" t="s">
        <v>154</v>
      </c>
      <c r="D446" s="32">
        <v>21.01</v>
      </c>
      <c r="E446" s="32">
        <v>21.5</v>
      </c>
      <c r="F446" s="32" t="s">
        <v>173</v>
      </c>
      <c r="G446" s="32">
        <v>3.6248</v>
      </c>
      <c r="H446" s="32">
        <v>1.6248</v>
      </c>
      <c r="I446" s="32" t="s">
        <v>174</v>
      </c>
      <c r="J446" s="32">
        <v>2</v>
      </c>
      <c r="K446" s="32" t="s">
        <v>183</v>
      </c>
      <c r="L446" s="18">
        <f t="shared" si="6"/>
        <v>999999999</v>
      </c>
    </row>
    <row r="447" spans="1:12" ht="15" customHeight="1" x14ac:dyDescent="0.25">
      <c r="A447" s="32" t="s">
        <v>182</v>
      </c>
      <c r="B447" s="32" t="s">
        <v>62</v>
      </c>
      <c r="C447" s="32" t="s">
        <v>154</v>
      </c>
      <c r="D447" s="32">
        <v>21.51</v>
      </c>
      <c r="E447" s="32">
        <v>22</v>
      </c>
      <c r="F447" s="32" t="s">
        <v>173</v>
      </c>
      <c r="G447" s="32">
        <v>3.6248</v>
      </c>
      <c r="H447" s="32">
        <v>1.6248</v>
      </c>
      <c r="I447" s="32" t="s">
        <v>174</v>
      </c>
      <c r="J447" s="32">
        <v>2</v>
      </c>
      <c r="K447" s="32" t="s">
        <v>183</v>
      </c>
      <c r="L447" s="18">
        <f t="shared" si="6"/>
        <v>999999999</v>
      </c>
    </row>
    <row r="448" spans="1:12" ht="15" customHeight="1" x14ac:dyDescent="0.25">
      <c r="A448" s="32" t="s">
        <v>182</v>
      </c>
      <c r="B448" s="32" t="s">
        <v>62</v>
      </c>
      <c r="C448" s="32" t="s">
        <v>154</v>
      </c>
      <c r="D448" s="32">
        <v>22.01</v>
      </c>
      <c r="E448" s="32">
        <v>22.5</v>
      </c>
      <c r="F448" s="32" t="s">
        <v>173</v>
      </c>
      <c r="G448" s="32">
        <v>3.6972</v>
      </c>
      <c r="H448" s="32">
        <v>1.6972</v>
      </c>
      <c r="I448" s="32" t="s">
        <v>174</v>
      </c>
      <c r="J448" s="32">
        <v>2</v>
      </c>
      <c r="K448" s="32" t="s">
        <v>183</v>
      </c>
      <c r="L448" s="18">
        <f t="shared" si="6"/>
        <v>999999999</v>
      </c>
    </row>
    <row r="449" spans="1:12" ht="15" customHeight="1" x14ac:dyDescent="0.25">
      <c r="A449" s="32" t="s">
        <v>182</v>
      </c>
      <c r="B449" s="32" t="s">
        <v>62</v>
      </c>
      <c r="C449" s="32" t="s">
        <v>154</v>
      </c>
      <c r="D449" s="32">
        <v>22.51</v>
      </c>
      <c r="E449" s="32">
        <v>23</v>
      </c>
      <c r="F449" s="32" t="s">
        <v>173</v>
      </c>
      <c r="G449" s="32">
        <v>3.6972</v>
      </c>
      <c r="H449" s="32">
        <v>1.6972</v>
      </c>
      <c r="I449" s="32" t="s">
        <v>174</v>
      </c>
      <c r="J449" s="32">
        <v>2</v>
      </c>
      <c r="K449" s="32" t="s">
        <v>183</v>
      </c>
      <c r="L449" s="18">
        <f t="shared" si="6"/>
        <v>999999999</v>
      </c>
    </row>
    <row r="450" spans="1:12" ht="15" customHeight="1" x14ac:dyDescent="0.25">
      <c r="A450" s="32" t="s">
        <v>182</v>
      </c>
      <c r="B450" s="32" t="s">
        <v>62</v>
      </c>
      <c r="C450" s="32" t="s">
        <v>154</v>
      </c>
      <c r="D450" s="32">
        <v>23.01</v>
      </c>
      <c r="E450" s="32">
        <v>23.5</v>
      </c>
      <c r="F450" s="32" t="s">
        <v>173</v>
      </c>
      <c r="G450" s="32">
        <v>3.77</v>
      </c>
      <c r="H450" s="32">
        <v>1.77</v>
      </c>
      <c r="I450" s="32" t="s">
        <v>174</v>
      </c>
      <c r="J450" s="32">
        <v>2</v>
      </c>
      <c r="K450" s="32" t="s">
        <v>183</v>
      </c>
      <c r="L450" s="18">
        <f t="shared" ref="L450:L513" si="7">IF(AND(B450=Quote_Port,D450&lt;=Quote_Weight,Quote_Weight&lt;=E450,OR(Quote_2Day="No",J450&lt;=2)),MAX(G450,Quote_Weight*H450)*Quote_USDINR,999999999)</f>
        <v>999999999</v>
      </c>
    </row>
    <row r="451" spans="1:12" ht="15" customHeight="1" x14ac:dyDescent="0.25">
      <c r="A451" s="32" t="s">
        <v>182</v>
      </c>
      <c r="B451" s="32" t="s">
        <v>62</v>
      </c>
      <c r="C451" s="32" t="s">
        <v>154</v>
      </c>
      <c r="D451" s="32">
        <v>23.51</v>
      </c>
      <c r="E451" s="32">
        <v>24</v>
      </c>
      <c r="F451" s="32" t="s">
        <v>173</v>
      </c>
      <c r="G451" s="32">
        <v>3.77</v>
      </c>
      <c r="H451" s="32">
        <v>1.77</v>
      </c>
      <c r="I451" s="32" t="s">
        <v>174</v>
      </c>
      <c r="J451" s="32">
        <v>2</v>
      </c>
      <c r="K451" s="32" t="s">
        <v>183</v>
      </c>
      <c r="L451" s="18">
        <f t="shared" si="7"/>
        <v>999999999</v>
      </c>
    </row>
    <row r="452" spans="1:12" ht="15" customHeight="1" x14ac:dyDescent="0.25">
      <c r="A452" s="32" t="s">
        <v>182</v>
      </c>
      <c r="B452" s="32" t="s">
        <v>62</v>
      </c>
      <c r="C452" s="32" t="s">
        <v>154</v>
      </c>
      <c r="D452" s="32">
        <v>24.01</v>
      </c>
      <c r="E452" s="32">
        <v>24.5</v>
      </c>
      <c r="F452" s="32" t="s">
        <v>173</v>
      </c>
      <c r="G452" s="32">
        <v>3.8420000000000001</v>
      </c>
      <c r="H452" s="32">
        <v>1.8420000000000001</v>
      </c>
      <c r="I452" s="32" t="s">
        <v>174</v>
      </c>
      <c r="J452" s="32">
        <v>2</v>
      </c>
      <c r="K452" s="32" t="s">
        <v>183</v>
      </c>
      <c r="L452" s="18">
        <f t="shared" si="7"/>
        <v>999999999</v>
      </c>
    </row>
    <row r="453" spans="1:12" ht="15" customHeight="1" x14ac:dyDescent="0.25">
      <c r="A453" s="32" t="s">
        <v>182</v>
      </c>
      <c r="B453" s="32" t="s">
        <v>62</v>
      </c>
      <c r="C453" s="32" t="s">
        <v>154</v>
      </c>
      <c r="D453" s="32">
        <v>24.51</v>
      </c>
      <c r="E453" s="32">
        <v>25</v>
      </c>
      <c r="F453" s="32" t="s">
        <v>173</v>
      </c>
      <c r="G453" s="32">
        <v>3.8420000000000001</v>
      </c>
      <c r="H453" s="32">
        <v>1.8420000000000001</v>
      </c>
      <c r="I453" s="32" t="s">
        <v>174</v>
      </c>
      <c r="J453" s="32">
        <v>2</v>
      </c>
      <c r="K453" s="32" t="s">
        <v>183</v>
      </c>
      <c r="L453" s="18">
        <f t="shared" si="7"/>
        <v>999999999</v>
      </c>
    </row>
    <row r="454" spans="1:12" ht="15" customHeight="1" x14ac:dyDescent="0.25">
      <c r="A454" s="32" t="s">
        <v>182</v>
      </c>
      <c r="B454" s="32" t="s">
        <v>62</v>
      </c>
      <c r="C454" s="32" t="s">
        <v>154</v>
      </c>
      <c r="D454" s="32">
        <v>25.01</v>
      </c>
      <c r="E454" s="32">
        <v>25.5</v>
      </c>
      <c r="F454" s="32" t="s">
        <v>173</v>
      </c>
      <c r="G454" s="32">
        <v>3.9144000000000001</v>
      </c>
      <c r="H454" s="32">
        <v>1.9144000000000001</v>
      </c>
      <c r="I454" s="32" t="s">
        <v>174</v>
      </c>
      <c r="J454" s="32">
        <v>2</v>
      </c>
      <c r="K454" s="32" t="s">
        <v>183</v>
      </c>
      <c r="L454" s="18">
        <f t="shared" si="7"/>
        <v>999999999</v>
      </c>
    </row>
    <row r="455" spans="1:12" ht="15" customHeight="1" x14ac:dyDescent="0.25">
      <c r="A455" s="32" t="s">
        <v>182</v>
      </c>
      <c r="B455" s="32" t="s">
        <v>62</v>
      </c>
      <c r="C455" s="32" t="s">
        <v>154</v>
      </c>
      <c r="D455" s="32">
        <v>25.51</v>
      </c>
      <c r="E455" s="32">
        <v>26</v>
      </c>
      <c r="F455" s="32" t="s">
        <v>173</v>
      </c>
      <c r="G455" s="32">
        <v>3.9144000000000001</v>
      </c>
      <c r="H455" s="32">
        <v>1.9144000000000001</v>
      </c>
      <c r="I455" s="32" t="s">
        <v>174</v>
      </c>
      <c r="J455" s="32">
        <v>2</v>
      </c>
      <c r="K455" s="32" t="s">
        <v>183</v>
      </c>
      <c r="L455" s="18">
        <f t="shared" si="7"/>
        <v>999999999</v>
      </c>
    </row>
    <row r="456" spans="1:12" ht="15" customHeight="1" x14ac:dyDescent="0.25">
      <c r="A456" s="32" t="s">
        <v>182</v>
      </c>
      <c r="B456" s="32" t="s">
        <v>62</v>
      </c>
      <c r="C456" s="32" t="s">
        <v>154</v>
      </c>
      <c r="D456" s="32">
        <v>26.01</v>
      </c>
      <c r="E456" s="32">
        <v>26.5</v>
      </c>
      <c r="F456" s="32" t="s">
        <v>173</v>
      </c>
      <c r="G456" s="32">
        <v>3.9872000000000001</v>
      </c>
      <c r="H456" s="32">
        <v>1.9872000000000001</v>
      </c>
      <c r="I456" s="32" t="s">
        <v>174</v>
      </c>
      <c r="J456" s="32">
        <v>2</v>
      </c>
      <c r="K456" s="32" t="s">
        <v>183</v>
      </c>
      <c r="L456" s="18">
        <f t="shared" si="7"/>
        <v>999999999</v>
      </c>
    </row>
    <row r="457" spans="1:12" ht="15" customHeight="1" x14ac:dyDescent="0.25">
      <c r="A457" s="32" t="s">
        <v>182</v>
      </c>
      <c r="B457" s="32" t="s">
        <v>62</v>
      </c>
      <c r="C457" s="32" t="s">
        <v>154</v>
      </c>
      <c r="D457" s="32">
        <v>26.51</v>
      </c>
      <c r="E457" s="32">
        <v>27</v>
      </c>
      <c r="F457" s="32" t="s">
        <v>173</v>
      </c>
      <c r="G457" s="32">
        <v>3.9872000000000001</v>
      </c>
      <c r="H457" s="32">
        <v>1.9872000000000001</v>
      </c>
      <c r="I457" s="32" t="s">
        <v>174</v>
      </c>
      <c r="J457" s="32">
        <v>2</v>
      </c>
      <c r="K457" s="32" t="s">
        <v>183</v>
      </c>
      <c r="L457" s="18">
        <f t="shared" si="7"/>
        <v>999999999</v>
      </c>
    </row>
    <row r="458" spans="1:12" ht="15" customHeight="1" x14ac:dyDescent="0.25">
      <c r="A458" s="32" t="s">
        <v>182</v>
      </c>
      <c r="B458" s="32" t="s">
        <v>62</v>
      </c>
      <c r="C458" s="32" t="s">
        <v>154</v>
      </c>
      <c r="D458" s="32">
        <v>27.01</v>
      </c>
      <c r="E458" s="32">
        <v>27.5</v>
      </c>
      <c r="F458" s="32" t="s">
        <v>173</v>
      </c>
      <c r="G458" s="32">
        <v>5.0595999999999997</v>
      </c>
      <c r="H458" s="32">
        <v>2.0596000000000001</v>
      </c>
      <c r="I458" s="32" t="s">
        <v>174</v>
      </c>
      <c r="J458" s="32">
        <v>2</v>
      </c>
      <c r="K458" s="32" t="s">
        <v>183</v>
      </c>
      <c r="L458" s="18">
        <f t="shared" si="7"/>
        <v>999999999</v>
      </c>
    </row>
    <row r="459" spans="1:12" ht="15" customHeight="1" x14ac:dyDescent="0.25">
      <c r="A459" s="32" t="s">
        <v>182</v>
      </c>
      <c r="B459" s="32" t="s">
        <v>62</v>
      </c>
      <c r="C459" s="32" t="s">
        <v>154</v>
      </c>
      <c r="D459" s="32">
        <v>27.51</v>
      </c>
      <c r="E459" s="32">
        <v>28</v>
      </c>
      <c r="F459" s="32" t="s">
        <v>173</v>
      </c>
      <c r="G459" s="32">
        <v>5.0595999999999997</v>
      </c>
      <c r="H459" s="32">
        <v>1.0596000000000001</v>
      </c>
      <c r="I459" s="32" t="s">
        <v>174</v>
      </c>
      <c r="J459" s="32">
        <v>2</v>
      </c>
      <c r="K459" s="32" t="s">
        <v>183</v>
      </c>
      <c r="L459" s="18">
        <f t="shared" si="7"/>
        <v>999999999</v>
      </c>
    </row>
    <row r="460" spans="1:12" ht="15" customHeight="1" x14ac:dyDescent="0.25">
      <c r="A460" s="32" t="s">
        <v>182</v>
      </c>
      <c r="B460" s="32" t="s">
        <v>62</v>
      </c>
      <c r="C460" s="32" t="s">
        <v>154</v>
      </c>
      <c r="D460" s="32">
        <v>28.01</v>
      </c>
      <c r="E460" s="32">
        <v>28.5</v>
      </c>
      <c r="F460" s="32" t="s">
        <v>173</v>
      </c>
      <c r="G460" s="32">
        <v>5.1323999999999996</v>
      </c>
      <c r="H460" s="32">
        <v>1.1324000000000001</v>
      </c>
      <c r="I460" s="32" t="s">
        <v>174</v>
      </c>
      <c r="J460" s="32">
        <v>2</v>
      </c>
      <c r="K460" s="32" t="s">
        <v>183</v>
      </c>
      <c r="L460" s="18">
        <f t="shared" si="7"/>
        <v>999999999</v>
      </c>
    </row>
    <row r="461" spans="1:12" ht="15" customHeight="1" x14ac:dyDescent="0.25">
      <c r="A461" s="32" t="s">
        <v>182</v>
      </c>
      <c r="B461" s="32" t="s">
        <v>62</v>
      </c>
      <c r="C461" s="32" t="s">
        <v>154</v>
      </c>
      <c r="D461" s="32">
        <v>28.51</v>
      </c>
      <c r="E461" s="32">
        <v>29</v>
      </c>
      <c r="F461" s="32" t="s">
        <v>173</v>
      </c>
      <c r="G461" s="32">
        <v>5.1323999999999996</v>
      </c>
      <c r="H461" s="32">
        <v>1.1324000000000001</v>
      </c>
      <c r="I461" s="32" t="s">
        <v>174</v>
      </c>
      <c r="J461" s="32">
        <v>2</v>
      </c>
      <c r="K461" s="32" t="s">
        <v>183</v>
      </c>
      <c r="L461" s="18">
        <f t="shared" si="7"/>
        <v>999999999</v>
      </c>
    </row>
    <row r="462" spans="1:12" ht="15" customHeight="1" x14ac:dyDescent="0.25">
      <c r="A462" s="32" t="s">
        <v>182</v>
      </c>
      <c r="B462" s="32" t="s">
        <v>62</v>
      </c>
      <c r="C462" s="32" t="s">
        <v>154</v>
      </c>
      <c r="D462" s="32">
        <v>29.01</v>
      </c>
      <c r="E462" s="32">
        <v>29.5</v>
      </c>
      <c r="F462" s="32" t="s">
        <v>173</v>
      </c>
      <c r="G462" s="32">
        <v>5.2043999999999997</v>
      </c>
      <c r="H462" s="32">
        <v>1.2043999999999999</v>
      </c>
      <c r="I462" s="32" t="s">
        <v>174</v>
      </c>
      <c r="J462" s="32">
        <v>2</v>
      </c>
      <c r="K462" s="32" t="s">
        <v>183</v>
      </c>
      <c r="L462" s="18">
        <f t="shared" si="7"/>
        <v>999999999</v>
      </c>
    </row>
    <row r="463" spans="1:12" ht="15" customHeight="1" x14ac:dyDescent="0.25">
      <c r="A463" s="32" t="s">
        <v>182</v>
      </c>
      <c r="B463" s="32" t="s">
        <v>62</v>
      </c>
      <c r="C463" s="32" t="s">
        <v>154</v>
      </c>
      <c r="D463" s="32">
        <v>29.51</v>
      </c>
      <c r="E463" s="32">
        <v>30</v>
      </c>
      <c r="F463" s="32" t="s">
        <v>173</v>
      </c>
      <c r="G463" s="32">
        <v>5.2043999999999997</v>
      </c>
      <c r="H463" s="32">
        <v>1.2043999999999999</v>
      </c>
      <c r="I463" s="32" t="s">
        <v>174</v>
      </c>
      <c r="J463" s="32">
        <v>2</v>
      </c>
      <c r="K463" s="32" t="s">
        <v>183</v>
      </c>
      <c r="L463" s="18">
        <f t="shared" si="7"/>
        <v>999999999</v>
      </c>
    </row>
    <row r="464" spans="1:12" ht="15" customHeight="1" x14ac:dyDescent="0.25">
      <c r="A464" s="32" t="s">
        <v>182</v>
      </c>
      <c r="B464" s="32" t="s">
        <v>62</v>
      </c>
      <c r="C464" s="32" t="s">
        <v>154</v>
      </c>
      <c r="D464" s="32">
        <v>30.01</v>
      </c>
      <c r="E464" s="32">
        <v>30.5</v>
      </c>
      <c r="F464" s="32" t="s">
        <v>173</v>
      </c>
      <c r="G464" s="32">
        <v>5.2771999999999997</v>
      </c>
      <c r="H464" s="32">
        <v>2.2772000000000001</v>
      </c>
      <c r="I464" s="32" t="s">
        <v>174</v>
      </c>
      <c r="J464" s="32">
        <v>2</v>
      </c>
      <c r="K464" s="32" t="s">
        <v>183</v>
      </c>
      <c r="L464" s="18">
        <f t="shared" si="7"/>
        <v>999999999</v>
      </c>
    </row>
    <row r="465" spans="1:12" ht="15" customHeight="1" x14ac:dyDescent="0.25">
      <c r="A465" s="32" t="s">
        <v>182</v>
      </c>
      <c r="B465" s="32" t="s">
        <v>62</v>
      </c>
      <c r="C465" s="32" t="s">
        <v>154</v>
      </c>
      <c r="D465" s="32">
        <v>30.51</v>
      </c>
      <c r="E465" s="32">
        <v>31</v>
      </c>
      <c r="F465" s="32" t="s">
        <v>173</v>
      </c>
      <c r="G465" s="32">
        <v>5.2771999999999997</v>
      </c>
      <c r="H465" s="32">
        <v>1.2771999999999999</v>
      </c>
      <c r="I465" s="32" t="s">
        <v>174</v>
      </c>
      <c r="J465" s="32">
        <v>2</v>
      </c>
      <c r="K465" s="32" t="s">
        <v>183</v>
      </c>
      <c r="L465" s="18">
        <f t="shared" si="7"/>
        <v>999999999</v>
      </c>
    </row>
    <row r="466" spans="1:12" ht="15" customHeight="1" x14ac:dyDescent="0.25">
      <c r="A466" s="32" t="s">
        <v>182</v>
      </c>
      <c r="B466" s="32" t="s">
        <v>62</v>
      </c>
      <c r="C466" s="32" t="s">
        <v>154</v>
      </c>
      <c r="D466" s="32">
        <v>31.01</v>
      </c>
      <c r="E466" s="32">
        <v>31.5</v>
      </c>
      <c r="F466" s="32" t="s">
        <v>173</v>
      </c>
      <c r="G466" s="32">
        <v>5.3495999999999997</v>
      </c>
      <c r="H466" s="32">
        <v>3.3496000000000001</v>
      </c>
      <c r="I466" s="32" t="s">
        <v>174</v>
      </c>
      <c r="J466" s="32">
        <v>2</v>
      </c>
      <c r="K466" s="32" t="s">
        <v>183</v>
      </c>
      <c r="L466" s="18">
        <f t="shared" si="7"/>
        <v>999999999</v>
      </c>
    </row>
    <row r="467" spans="1:12" ht="15" customHeight="1" x14ac:dyDescent="0.25">
      <c r="A467" s="32" t="s">
        <v>182</v>
      </c>
      <c r="B467" s="32" t="s">
        <v>62</v>
      </c>
      <c r="C467" s="32" t="s">
        <v>154</v>
      </c>
      <c r="D467" s="32">
        <v>31.51</v>
      </c>
      <c r="E467" s="32">
        <v>32</v>
      </c>
      <c r="F467" s="32" t="s">
        <v>173</v>
      </c>
      <c r="G467" s="32">
        <v>5.3495999999999997</v>
      </c>
      <c r="H467" s="32">
        <v>3.3496000000000001</v>
      </c>
      <c r="I467" s="32" t="s">
        <v>174</v>
      </c>
      <c r="J467" s="32">
        <v>2</v>
      </c>
      <c r="K467" s="32" t="s">
        <v>183</v>
      </c>
      <c r="L467" s="18">
        <f t="shared" si="7"/>
        <v>999999999</v>
      </c>
    </row>
    <row r="468" spans="1:12" ht="15" customHeight="1" x14ac:dyDescent="0.25">
      <c r="A468" s="32" t="s">
        <v>182</v>
      </c>
      <c r="B468" s="32" t="s">
        <v>62</v>
      </c>
      <c r="C468" s="32" t="s">
        <v>154</v>
      </c>
      <c r="D468" s="32">
        <v>32.01</v>
      </c>
      <c r="E468" s="32">
        <v>32.5</v>
      </c>
      <c r="F468" s="32" t="s">
        <v>173</v>
      </c>
      <c r="G468" s="32">
        <v>5.4223999999999997</v>
      </c>
      <c r="H468" s="32">
        <v>2.4224000000000001</v>
      </c>
      <c r="I468" s="32" t="s">
        <v>174</v>
      </c>
      <c r="J468" s="32">
        <v>2</v>
      </c>
      <c r="K468" s="32" t="s">
        <v>183</v>
      </c>
      <c r="L468" s="18">
        <f t="shared" si="7"/>
        <v>999999999</v>
      </c>
    </row>
    <row r="469" spans="1:12" ht="15" customHeight="1" x14ac:dyDescent="0.25">
      <c r="A469" s="32" t="s">
        <v>182</v>
      </c>
      <c r="B469" s="32" t="s">
        <v>62</v>
      </c>
      <c r="C469" s="32" t="s">
        <v>154</v>
      </c>
      <c r="D469" s="32">
        <v>32.51</v>
      </c>
      <c r="E469" s="32">
        <v>33</v>
      </c>
      <c r="F469" s="32" t="s">
        <v>173</v>
      </c>
      <c r="G469" s="32">
        <v>5.4223999999999997</v>
      </c>
      <c r="H469" s="32">
        <v>2.4224000000000001</v>
      </c>
      <c r="I469" s="32" t="s">
        <v>174</v>
      </c>
      <c r="J469" s="32">
        <v>2</v>
      </c>
      <c r="K469" s="32" t="s">
        <v>183</v>
      </c>
      <c r="L469" s="18">
        <f t="shared" si="7"/>
        <v>999999999</v>
      </c>
    </row>
    <row r="470" spans="1:12" ht="15" customHeight="1" x14ac:dyDescent="0.25">
      <c r="A470" s="32" t="s">
        <v>182</v>
      </c>
      <c r="B470" s="32" t="s">
        <v>62</v>
      </c>
      <c r="C470" s="32" t="s">
        <v>154</v>
      </c>
      <c r="D470" s="32">
        <v>33.01</v>
      </c>
      <c r="E470" s="32">
        <v>33.5</v>
      </c>
      <c r="F470" s="32" t="s">
        <v>173</v>
      </c>
      <c r="G470" s="32">
        <v>5.4947999999999997</v>
      </c>
      <c r="H470" s="32">
        <v>3.4948000000000001</v>
      </c>
      <c r="I470" s="32" t="s">
        <v>174</v>
      </c>
      <c r="J470" s="32">
        <v>2</v>
      </c>
      <c r="K470" s="32" t="s">
        <v>183</v>
      </c>
      <c r="L470" s="18">
        <f t="shared" si="7"/>
        <v>999999999</v>
      </c>
    </row>
    <row r="471" spans="1:12" ht="15" customHeight="1" x14ac:dyDescent="0.25">
      <c r="A471" s="32" t="s">
        <v>182</v>
      </c>
      <c r="B471" s="32" t="s">
        <v>62</v>
      </c>
      <c r="C471" s="32" t="s">
        <v>154</v>
      </c>
      <c r="D471" s="32">
        <v>33.51</v>
      </c>
      <c r="E471" s="32">
        <v>34</v>
      </c>
      <c r="F471" s="32" t="s">
        <v>173</v>
      </c>
      <c r="G471" s="32">
        <v>5.4947999999999997</v>
      </c>
      <c r="H471" s="32">
        <v>1.4947999999999999</v>
      </c>
      <c r="I471" s="32" t="s">
        <v>174</v>
      </c>
      <c r="J471" s="32">
        <v>2</v>
      </c>
      <c r="K471" s="32" t="s">
        <v>183</v>
      </c>
      <c r="L471" s="18">
        <f t="shared" si="7"/>
        <v>999999999</v>
      </c>
    </row>
    <row r="472" spans="1:12" ht="15" customHeight="1" x14ac:dyDescent="0.25">
      <c r="A472" s="32" t="s">
        <v>182</v>
      </c>
      <c r="B472" s="32" t="s">
        <v>62</v>
      </c>
      <c r="C472" s="32" t="s">
        <v>154</v>
      </c>
      <c r="D472" s="32">
        <v>34.01</v>
      </c>
      <c r="E472" s="32">
        <v>34.5</v>
      </c>
      <c r="F472" s="32" t="s">
        <v>173</v>
      </c>
      <c r="G472" s="32">
        <v>5.5675999999999997</v>
      </c>
      <c r="H472" s="32">
        <v>2.5676000000000001</v>
      </c>
      <c r="I472" s="32" t="s">
        <v>174</v>
      </c>
      <c r="J472" s="32">
        <v>2</v>
      </c>
      <c r="K472" s="32" t="s">
        <v>183</v>
      </c>
      <c r="L472" s="18">
        <f t="shared" si="7"/>
        <v>999999999</v>
      </c>
    </row>
    <row r="473" spans="1:12" ht="15" customHeight="1" x14ac:dyDescent="0.25">
      <c r="A473" s="32" t="s">
        <v>182</v>
      </c>
      <c r="B473" s="32" t="s">
        <v>62</v>
      </c>
      <c r="C473" s="32" t="s">
        <v>154</v>
      </c>
      <c r="D473" s="32">
        <v>34.51</v>
      </c>
      <c r="E473" s="32">
        <v>35</v>
      </c>
      <c r="F473" s="32" t="s">
        <v>173</v>
      </c>
      <c r="G473" s="32">
        <v>5.5675999999999997</v>
      </c>
      <c r="H473" s="32">
        <v>1.5676000000000001</v>
      </c>
      <c r="I473" s="32" t="s">
        <v>174</v>
      </c>
      <c r="J473" s="32">
        <v>2</v>
      </c>
      <c r="K473" s="32" t="s">
        <v>183</v>
      </c>
      <c r="L473" s="18">
        <f t="shared" si="7"/>
        <v>999999999</v>
      </c>
    </row>
    <row r="474" spans="1:12" ht="15" customHeight="1" x14ac:dyDescent="0.25">
      <c r="A474" s="32" t="s">
        <v>182</v>
      </c>
      <c r="B474" s="32" t="s">
        <v>62</v>
      </c>
      <c r="C474" s="32" t="s">
        <v>154</v>
      </c>
      <c r="D474" s="32">
        <v>35.01</v>
      </c>
      <c r="E474" s="32">
        <v>35.5</v>
      </c>
      <c r="F474" s="32" t="s">
        <v>173</v>
      </c>
      <c r="G474" s="32">
        <v>5.6395999999999997</v>
      </c>
      <c r="H474" s="32">
        <v>1.6395999999999999</v>
      </c>
      <c r="I474" s="32" t="s">
        <v>174</v>
      </c>
      <c r="J474" s="32">
        <v>2</v>
      </c>
      <c r="K474" s="32" t="s">
        <v>183</v>
      </c>
      <c r="L474" s="18">
        <f t="shared" si="7"/>
        <v>999999999</v>
      </c>
    </row>
    <row r="475" spans="1:12" ht="15" customHeight="1" x14ac:dyDescent="0.25">
      <c r="A475" s="32" t="s">
        <v>182</v>
      </c>
      <c r="B475" s="32" t="s">
        <v>62</v>
      </c>
      <c r="C475" s="32" t="s">
        <v>154</v>
      </c>
      <c r="D475" s="32">
        <v>35.51</v>
      </c>
      <c r="E475" s="32">
        <v>36</v>
      </c>
      <c r="F475" s="32" t="s">
        <v>173</v>
      </c>
      <c r="G475" s="32">
        <v>5.6395999999999997</v>
      </c>
      <c r="H475" s="32">
        <v>2.6396000000000002</v>
      </c>
      <c r="I475" s="32" t="s">
        <v>174</v>
      </c>
      <c r="J475" s="32">
        <v>2</v>
      </c>
      <c r="K475" s="32" t="s">
        <v>183</v>
      </c>
      <c r="L475" s="18">
        <f t="shared" si="7"/>
        <v>999999999</v>
      </c>
    </row>
    <row r="476" spans="1:12" ht="15" customHeight="1" x14ac:dyDescent="0.25">
      <c r="A476" s="32" t="s">
        <v>182</v>
      </c>
      <c r="B476" s="32" t="s">
        <v>62</v>
      </c>
      <c r="C476" s="32" t="s">
        <v>154</v>
      </c>
      <c r="D476" s="32">
        <v>36.01</v>
      </c>
      <c r="E476" s="32">
        <v>36.5</v>
      </c>
      <c r="F476" s="32" t="s">
        <v>173</v>
      </c>
      <c r="G476" s="32">
        <v>5.7123999999999997</v>
      </c>
      <c r="H476" s="32">
        <v>3.7124000000000001</v>
      </c>
      <c r="I476" s="32" t="s">
        <v>174</v>
      </c>
      <c r="J476" s="32">
        <v>2</v>
      </c>
      <c r="K476" s="32" t="s">
        <v>183</v>
      </c>
      <c r="L476" s="18">
        <f t="shared" si="7"/>
        <v>999999999</v>
      </c>
    </row>
    <row r="477" spans="1:12" ht="15" customHeight="1" x14ac:dyDescent="0.25">
      <c r="A477" s="32" t="s">
        <v>182</v>
      </c>
      <c r="B477" s="32" t="s">
        <v>62</v>
      </c>
      <c r="C477" s="32" t="s">
        <v>154</v>
      </c>
      <c r="D477" s="32">
        <v>36.51</v>
      </c>
      <c r="E477" s="32">
        <v>37</v>
      </c>
      <c r="F477" s="32" t="s">
        <v>173</v>
      </c>
      <c r="G477" s="32">
        <v>5.7123999999999997</v>
      </c>
      <c r="H477" s="32">
        <v>2.7124000000000001</v>
      </c>
      <c r="I477" s="32" t="s">
        <v>174</v>
      </c>
      <c r="J477" s="32">
        <v>2</v>
      </c>
      <c r="K477" s="32" t="s">
        <v>183</v>
      </c>
      <c r="L477" s="18">
        <f t="shared" si="7"/>
        <v>999999999</v>
      </c>
    </row>
    <row r="478" spans="1:12" ht="15" customHeight="1" x14ac:dyDescent="0.25">
      <c r="A478" s="32" t="s">
        <v>182</v>
      </c>
      <c r="B478" s="32" t="s">
        <v>62</v>
      </c>
      <c r="C478" s="32" t="s">
        <v>154</v>
      </c>
      <c r="D478" s="32">
        <v>37.01</v>
      </c>
      <c r="E478" s="32">
        <v>37.5</v>
      </c>
      <c r="F478" s="32" t="s">
        <v>173</v>
      </c>
      <c r="G478" s="32">
        <v>5.7847999999999997</v>
      </c>
      <c r="H478" s="32">
        <v>1.7847999999999999</v>
      </c>
      <c r="I478" s="32" t="s">
        <v>174</v>
      </c>
      <c r="J478" s="32">
        <v>2</v>
      </c>
      <c r="K478" s="32" t="s">
        <v>183</v>
      </c>
      <c r="L478" s="18">
        <f t="shared" si="7"/>
        <v>999999999</v>
      </c>
    </row>
    <row r="479" spans="1:12" ht="15" customHeight="1" x14ac:dyDescent="0.25">
      <c r="A479" s="32" t="s">
        <v>182</v>
      </c>
      <c r="B479" s="32" t="s">
        <v>62</v>
      </c>
      <c r="C479" s="32" t="s">
        <v>154</v>
      </c>
      <c r="D479" s="32">
        <v>37.51</v>
      </c>
      <c r="E479" s="32">
        <v>38</v>
      </c>
      <c r="F479" s="32" t="s">
        <v>173</v>
      </c>
      <c r="G479" s="32">
        <v>5.7847999999999997</v>
      </c>
      <c r="H479" s="32">
        <v>2.7848000000000002</v>
      </c>
      <c r="I479" s="32" t="s">
        <v>174</v>
      </c>
      <c r="J479" s="32">
        <v>2</v>
      </c>
      <c r="K479" s="32" t="s">
        <v>183</v>
      </c>
      <c r="L479" s="18">
        <f t="shared" si="7"/>
        <v>999999999</v>
      </c>
    </row>
    <row r="480" spans="1:12" ht="15" customHeight="1" x14ac:dyDescent="0.25">
      <c r="A480" s="32" t="s">
        <v>182</v>
      </c>
      <c r="B480" s="32" t="s">
        <v>62</v>
      </c>
      <c r="C480" s="32" t="s">
        <v>154</v>
      </c>
      <c r="D480" s="32">
        <v>38.01</v>
      </c>
      <c r="E480" s="32">
        <v>38.5</v>
      </c>
      <c r="F480" s="32" t="s">
        <v>173</v>
      </c>
      <c r="G480" s="32">
        <v>5.8575999999999997</v>
      </c>
      <c r="H480" s="32">
        <v>2.8576000000000001</v>
      </c>
      <c r="I480" s="32" t="s">
        <v>174</v>
      </c>
      <c r="J480" s="32">
        <v>2</v>
      </c>
      <c r="K480" s="32" t="s">
        <v>183</v>
      </c>
      <c r="L480" s="18">
        <f t="shared" si="7"/>
        <v>999999999</v>
      </c>
    </row>
    <row r="481" spans="1:12" ht="15" customHeight="1" x14ac:dyDescent="0.25">
      <c r="A481" s="32" t="s">
        <v>182</v>
      </c>
      <c r="B481" s="32" t="s">
        <v>62</v>
      </c>
      <c r="C481" s="32" t="s">
        <v>154</v>
      </c>
      <c r="D481" s="32">
        <v>38.51</v>
      </c>
      <c r="E481" s="32">
        <v>39</v>
      </c>
      <c r="F481" s="32" t="s">
        <v>173</v>
      </c>
      <c r="G481" s="32">
        <v>5.8575999999999997</v>
      </c>
      <c r="H481" s="32">
        <v>1.8575999999999999</v>
      </c>
      <c r="I481" s="32" t="s">
        <v>174</v>
      </c>
      <c r="J481" s="32">
        <v>2</v>
      </c>
      <c r="K481" s="32" t="s">
        <v>183</v>
      </c>
      <c r="L481" s="18">
        <f t="shared" si="7"/>
        <v>999999999</v>
      </c>
    </row>
    <row r="482" spans="1:12" ht="15" customHeight="1" x14ac:dyDescent="0.25">
      <c r="A482" s="32" t="s">
        <v>182</v>
      </c>
      <c r="B482" s="32" t="s">
        <v>62</v>
      </c>
      <c r="C482" s="32" t="s">
        <v>154</v>
      </c>
      <c r="D482" s="32">
        <v>39.01</v>
      </c>
      <c r="E482" s="32">
        <v>39.5</v>
      </c>
      <c r="F482" s="32" t="s">
        <v>173</v>
      </c>
      <c r="G482" s="32">
        <v>5.93</v>
      </c>
      <c r="H482" s="32">
        <v>3.93</v>
      </c>
      <c r="I482" s="32" t="s">
        <v>174</v>
      </c>
      <c r="J482" s="32">
        <v>2</v>
      </c>
      <c r="K482" s="32" t="s">
        <v>183</v>
      </c>
      <c r="L482" s="18">
        <f t="shared" si="7"/>
        <v>999999999</v>
      </c>
    </row>
    <row r="483" spans="1:12" ht="15" customHeight="1" x14ac:dyDescent="0.25">
      <c r="A483" s="32" t="s">
        <v>182</v>
      </c>
      <c r="B483" s="32" t="s">
        <v>62</v>
      </c>
      <c r="C483" s="32" t="s">
        <v>154</v>
      </c>
      <c r="D483" s="32">
        <v>39.51</v>
      </c>
      <c r="E483" s="32">
        <v>40</v>
      </c>
      <c r="F483" s="32" t="s">
        <v>173</v>
      </c>
      <c r="G483" s="32">
        <v>5.93</v>
      </c>
      <c r="H483" s="32">
        <v>1.93</v>
      </c>
      <c r="I483" s="32" t="s">
        <v>174</v>
      </c>
      <c r="J483" s="32">
        <v>2</v>
      </c>
      <c r="K483" s="32" t="s">
        <v>183</v>
      </c>
      <c r="L483" s="18">
        <f t="shared" si="7"/>
        <v>999999999</v>
      </c>
    </row>
    <row r="484" spans="1:12" ht="15" customHeight="1" x14ac:dyDescent="0.25">
      <c r="A484" s="32" t="s">
        <v>182</v>
      </c>
      <c r="B484" s="32" t="s">
        <v>62</v>
      </c>
      <c r="C484" s="32" t="s">
        <v>154</v>
      </c>
      <c r="D484" s="32">
        <v>40.01</v>
      </c>
      <c r="E484" s="32">
        <v>40.5</v>
      </c>
      <c r="F484" s="32" t="s">
        <v>173</v>
      </c>
      <c r="G484" s="32">
        <v>7.0023999999999997</v>
      </c>
      <c r="H484" s="32">
        <v>2.0024000000000002</v>
      </c>
      <c r="I484" s="32" t="s">
        <v>174</v>
      </c>
      <c r="J484" s="32">
        <v>2</v>
      </c>
      <c r="K484" s="32" t="s">
        <v>183</v>
      </c>
      <c r="L484" s="18">
        <f t="shared" si="7"/>
        <v>999999999</v>
      </c>
    </row>
    <row r="485" spans="1:12" ht="15" customHeight="1" x14ac:dyDescent="0.25">
      <c r="A485" s="32" t="s">
        <v>182</v>
      </c>
      <c r="B485" s="32" t="s">
        <v>62</v>
      </c>
      <c r="C485" s="32" t="s">
        <v>154</v>
      </c>
      <c r="D485" s="32">
        <v>40.51</v>
      </c>
      <c r="E485" s="32">
        <v>41</v>
      </c>
      <c r="F485" s="32" t="s">
        <v>173</v>
      </c>
      <c r="G485" s="32">
        <v>7.0023999999999997</v>
      </c>
      <c r="H485" s="32">
        <v>4.0023999999999997</v>
      </c>
      <c r="I485" s="32" t="s">
        <v>174</v>
      </c>
      <c r="J485" s="32">
        <v>2</v>
      </c>
      <c r="K485" s="32" t="s">
        <v>183</v>
      </c>
      <c r="L485" s="18">
        <f t="shared" si="7"/>
        <v>999999999</v>
      </c>
    </row>
    <row r="486" spans="1:12" ht="15" customHeight="1" x14ac:dyDescent="0.25">
      <c r="A486" s="32" t="s">
        <v>182</v>
      </c>
      <c r="B486" s="32" t="s">
        <v>62</v>
      </c>
      <c r="C486" s="32" t="s">
        <v>154</v>
      </c>
      <c r="D486" s="32">
        <v>41.01</v>
      </c>
      <c r="E486" s="32">
        <v>41.5</v>
      </c>
      <c r="F486" s="32" t="s">
        <v>173</v>
      </c>
      <c r="G486" s="32">
        <v>7.0747999999999998</v>
      </c>
      <c r="H486" s="32">
        <v>3.0748000000000002</v>
      </c>
      <c r="I486" s="32" t="s">
        <v>174</v>
      </c>
      <c r="J486" s="32">
        <v>2</v>
      </c>
      <c r="K486" s="32" t="s">
        <v>183</v>
      </c>
      <c r="L486" s="18">
        <f t="shared" si="7"/>
        <v>999999999</v>
      </c>
    </row>
    <row r="487" spans="1:12" ht="15" customHeight="1" x14ac:dyDescent="0.25">
      <c r="A487" s="32" t="s">
        <v>182</v>
      </c>
      <c r="B487" s="32" t="s">
        <v>62</v>
      </c>
      <c r="C487" s="32" t="s">
        <v>154</v>
      </c>
      <c r="D487" s="32">
        <v>41.51</v>
      </c>
      <c r="E487" s="32">
        <v>42</v>
      </c>
      <c r="F487" s="32" t="s">
        <v>173</v>
      </c>
      <c r="G487" s="32">
        <v>7.0747999999999998</v>
      </c>
      <c r="H487" s="32">
        <v>4.0747999999999998</v>
      </c>
      <c r="I487" s="32" t="s">
        <v>174</v>
      </c>
      <c r="J487" s="32">
        <v>2</v>
      </c>
      <c r="K487" s="32" t="s">
        <v>183</v>
      </c>
      <c r="L487" s="18">
        <f t="shared" si="7"/>
        <v>999999999</v>
      </c>
    </row>
    <row r="488" spans="1:12" ht="15" customHeight="1" x14ac:dyDescent="0.25">
      <c r="A488" s="32" t="s">
        <v>182</v>
      </c>
      <c r="B488" s="32" t="s">
        <v>62</v>
      </c>
      <c r="C488" s="32" t="s">
        <v>154</v>
      </c>
      <c r="D488" s="32">
        <v>42.01</v>
      </c>
      <c r="E488" s="32">
        <v>42.5</v>
      </c>
      <c r="F488" s="32" t="s">
        <v>173</v>
      </c>
      <c r="G488" s="32">
        <v>7.1147999999999998</v>
      </c>
      <c r="H488" s="32">
        <v>2.1147999999999998</v>
      </c>
      <c r="I488" s="32" t="s">
        <v>174</v>
      </c>
      <c r="J488" s="32">
        <v>2</v>
      </c>
      <c r="K488" s="32" t="s">
        <v>183</v>
      </c>
      <c r="L488" s="18">
        <f t="shared" si="7"/>
        <v>999999999</v>
      </c>
    </row>
    <row r="489" spans="1:12" ht="15" customHeight="1" x14ac:dyDescent="0.25">
      <c r="A489" s="32" t="s">
        <v>182</v>
      </c>
      <c r="B489" s="32" t="s">
        <v>62</v>
      </c>
      <c r="C489" s="32" t="s">
        <v>154</v>
      </c>
      <c r="D489" s="32">
        <v>42.51</v>
      </c>
      <c r="E489" s="32">
        <v>43</v>
      </c>
      <c r="F489" s="32" t="s">
        <v>173</v>
      </c>
      <c r="G489" s="32">
        <v>7.1147999999999998</v>
      </c>
      <c r="H489" s="32">
        <v>4.1147999999999998</v>
      </c>
      <c r="I489" s="32" t="s">
        <v>174</v>
      </c>
      <c r="J489" s="32">
        <v>2</v>
      </c>
      <c r="K489" s="32" t="s">
        <v>183</v>
      </c>
      <c r="L489" s="18">
        <f t="shared" si="7"/>
        <v>999999999</v>
      </c>
    </row>
    <row r="490" spans="1:12" ht="15" customHeight="1" x14ac:dyDescent="0.25">
      <c r="A490" s="32" t="s">
        <v>182</v>
      </c>
      <c r="B490" s="32" t="s">
        <v>62</v>
      </c>
      <c r="C490" s="32" t="s">
        <v>154</v>
      </c>
      <c r="D490" s="32">
        <v>43.01</v>
      </c>
      <c r="E490" s="32">
        <v>43.5</v>
      </c>
      <c r="F490" s="32" t="s">
        <v>173</v>
      </c>
      <c r="G490" s="32">
        <v>7.1147999999999998</v>
      </c>
      <c r="H490" s="32">
        <v>3.1147999999999998</v>
      </c>
      <c r="I490" s="32" t="s">
        <v>174</v>
      </c>
      <c r="J490" s="32">
        <v>2</v>
      </c>
      <c r="K490" s="32" t="s">
        <v>183</v>
      </c>
      <c r="L490" s="18">
        <f t="shared" si="7"/>
        <v>999999999</v>
      </c>
    </row>
    <row r="491" spans="1:12" ht="15" customHeight="1" x14ac:dyDescent="0.25">
      <c r="A491" s="32" t="s">
        <v>182</v>
      </c>
      <c r="B491" s="32" t="s">
        <v>62</v>
      </c>
      <c r="C491" s="32" t="s">
        <v>154</v>
      </c>
      <c r="D491" s="32">
        <v>43.51</v>
      </c>
      <c r="E491" s="32">
        <v>44</v>
      </c>
      <c r="F491" s="32" t="s">
        <v>173</v>
      </c>
      <c r="G491" s="32">
        <v>7.1147999999999998</v>
      </c>
      <c r="H491" s="32">
        <v>4.1147999999999998</v>
      </c>
      <c r="I491" s="32" t="s">
        <v>174</v>
      </c>
      <c r="J491" s="32">
        <v>2</v>
      </c>
      <c r="K491" s="32" t="s">
        <v>183</v>
      </c>
      <c r="L491" s="18">
        <f t="shared" si="7"/>
        <v>999999999</v>
      </c>
    </row>
    <row r="492" spans="1:12" ht="15" customHeight="1" x14ac:dyDescent="0.25">
      <c r="A492" s="32" t="s">
        <v>182</v>
      </c>
      <c r="B492" s="32" t="s">
        <v>62</v>
      </c>
      <c r="C492" s="32" t="s">
        <v>154</v>
      </c>
      <c r="D492" s="32">
        <v>44.01</v>
      </c>
      <c r="E492" s="32">
        <v>44.5</v>
      </c>
      <c r="F492" s="32" t="s">
        <v>173</v>
      </c>
      <c r="G492" s="32">
        <v>7.1147999999999998</v>
      </c>
      <c r="H492" s="32">
        <v>4.1147999999999998</v>
      </c>
      <c r="I492" s="32" t="s">
        <v>174</v>
      </c>
      <c r="J492" s="32">
        <v>2</v>
      </c>
      <c r="K492" s="32" t="s">
        <v>183</v>
      </c>
      <c r="L492" s="18">
        <f t="shared" si="7"/>
        <v>999999999</v>
      </c>
    </row>
    <row r="493" spans="1:12" ht="15" customHeight="1" x14ac:dyDescent="0.25">
      <c r="A493" s="32" t="s">
        <v>182</v>
      </c>
      <c r="B493" s="32" t="s">
        <v>62</v>
      </c>
      <c r="C493" s="32" t="s">
        <v>154</v>
      </c>
      <c r="D493" s="32">
        <v>44.51</v>
      </c>
      <c r="E493" s="32">
        <v>45</v>
      </c>
      <c r="F493" s="32" t="s">
        <v>173</v>
      </c>
      <c r="G493" s="32">
        <v>7.1147999999999998</v>
      </c>
      <c r="H493" s="32">
        <v>3.1147999999999998</v>
      </c>
      <c r="I493" s="32" t="s">
        <v>174</v>
      </c>
      <c r="J493" s="32">
        <v>2</v>
      </c>
      <c r="K493" s="32" t="s">
        <v>183</v>
      </c>
      <c r="L493" s="18">
        <f t="shared" si="7"/>
        <v>999999999</v>
      </c>
    </row>
    <row r="494" spans="1:12" ht="15" customHeight="1" x14ac:dyDescent="0.25">
      <c r="A494" s="32" t="s">
        <v>182</v>
      </c>
      <c r="B494" s="32" t="s">
        <v>62</v>
      </c>
      <c r="C494" s="32" t="s">
        <v>154</v>
      </c>
      <c r="D494" s="32">
        <v>45.01</v>
      </c>
      <c r="E494" s="32">
        <v>45.5</v>
      </c>
      <c r="F494" s="32" t="s">
        <v>173</v>
      </c>
      <c r="G494" s="32">
        <v>7.1836000000000002</v>
      </c>
      <c r="H494" s="32">
        <v>4.1836000000000002</v>
      </c>
      <c r="I494" s="32" t="s">
        <v>174</v>
      </c>
      <c r="J494" s="32">
        <v>2</v>
      </c>
      <c r="K494" s="32" t="s">
        <v>183</v>
      </c>
      <c r="L494" s="18">
        <f t="shared" si="7"/>
        <v>999999999</v>
      </c>
    </row>
    <row r="495" spans="1:12" ht="15" customHeight="1" x14ac:dyDescent="0.25">
      <c r="A495" s="32" t="s">
        <v>182</v>
      </c>
      <c r="B495" s="32" t="s">
        <v>62</v>
      </c>
      <c r="C495" s="32" t="s">
        <v>154</v>
      </c>
      <c r="D495" s="32">
        <v>45.51</v>
      </c>
      <c r="E495" s="32">
        <v>46</v>
      </c>
      <c r="F495" s="32" t="s">
        <v>173</v>
      </c>
      <c r="G495" s="32">
        <v>7.1836000000000002</v>
      </c>
      <c r="H495" s="32">
        <v>4.1836000000000002</v>
      </c>
      <c r="I495" s="32" t="s">
        <v>174</v>
      </c>
      <c r="J495" s="32">
        <v>2</v>
      </c>
      <c r="K495" s="32" t="s">
        <v>183</v>
      </c>
      <c r="L495" s="18">
        <f t="shared" si="7"/>
        <v>999999999</v>
      </c>
    </row>
    <row r="496" spans="1:12" ht="15" customHeight="1" x14ac:dyDescent="0.25">
      <c r="A496" s="32" t="s">
        <v>182</v>
      </c>
      <c r="B496" s="32" t="s">
        <v>62</v>
      </c>
      <c r="C496" s="32" t="s">
        <v>154</v>
      </c>
      <c r="D496" s="32">
        <v>46.01</v>
      </c>
      <c r="E496" s="32">
        <v>46.5</v>
      </c>
      <c r="F496" s="32" t="s">
        <v>173</v>
      </c>
      <c r="G496" s="32">
        <v>7.2523999999999997</v>
      </c>
      <c r="H496" s="32">
        <v>3.2524000000000002</v>
      </c>
      <c r="I496" s="32" t="s">
        <v>174</v>
      </c>
      <c r="J496" s="32">
        <v>2</v>
      </c>
      <c r="K496" s="32" t="s">
        <v>183</v>
      </c>
      <c r="L496" s="18">
        <f t="shared" si="7"/>
        <v>999999999</v>
      </c>
    </row>
    <row r="497" spans="1:12" ht="15" customHeight="1" x14ac:dyDescent="0.25">
      <c r="A497" s="32" t="s">
        <v>182</v>
      </c>
      <c r="B497" s="32" t="s">
        <v>62</v>
      </c>
      <c r="C497" s="32" t="s">
        <v>154</v>
      </c>
      <c r="D497" s="32">
        <v>46.51</v>
      </c>
      <c r="E497" s="32">
        <v>47</v>
      </c>
      <c r="F497" s="32" t="s">
        <v>173</v>
      </c>
      <c r="G497" s="32">
        <v>7.2523999999999997</v>
      </c>
      <c r="H497" s="32">
        <v>3.2524000000000002</v>
      </c>
      <c r="I497" s="32" t="s">
        <v>174</v>
      </c>
      <c r="J497" s="32">
        <v>2</v>
      </c>
      <c r="K497" s="32" t="s">
        <v>183</v>
      </c>
      <c r="L497" s="18">
        <f t="shared" si="7"/>
        <v>999999999</v>
      </c>
    </row>
    <row r="498" spans="1:12" ht="15" customHeight="1" x14ac:dyDescent="0.25">
      <c r="A498" s="32" t="s">
        <v>182</v>
      </c>
      <c r="B498" s="32" t="s">
        <v>62</v>
      </c>
      <c r="C498" s="32" t="s">
        <v>154</v>
      </c>
      <c r="D498" s="32">
        <v>47.01</v>
      </c>
      <c r="E498" s="32">
        <v>47.5</v>
      </c>
      <c r="F498" s="32" t="s">
        <v>173</v>
      </c>
      <c r="G498" s="32">
        <v>7.3204000000000002</v>
      </c>
      <c r="H498" s="32">
        <v>3.3203999999999998</v>
      </c>
      <c r="I498" s="32" t="s">
        <v>174</v>
      </c>
      <c r="J498" s="32">
        <v>2</v>
      </c>
      <c r="K498" s="32" t="s">
        <v>183</v>
      </c>
      <c r="L498" s="18">
        <f t="shared" si="7"/>
        <v>999999999</v>
      </c>
    </row>
    <row r="499" spans="1:12" ht="15" customHeight="1" x14ac:dyDescent="0.25">
      <c r="A499" s="32" t="s">
        <v>182</v>
      </c>
      <c r="B499" s="32" t="s">
        <v>62</v>
      </c>
      <c r="C499" s="32" t="s">
        <v>154</v>
      </c>
      <c r="D499" s="32">
        <v>47.51</v>
      </c>
      <c r="E499" s="32">
        <v>48</v>
      </c>
      <c r="F499" s="32" t="s">
        <v>173</v>
      </c>
      <c r="G499" s="32">
        <v>7.3204000000000002</v>
      </c>
      <c r="H499" s="32">
        <v>2.3203999999999998</v>
      </c>
      <c r="I499" s="32" t="s">
        <v>174</v>
      </c>
      <c r="J499" s="32">
        <v>2</v>
      </c>
      <c r="K499" s="32" t="s">
        <v>183</v>
      </c>
      <c r="L499" s="18">
        <f t="shared" si="7"/>
        <v>999999999</v>
      </c>
    </row>
    <row r="500" spans="1:12" ht="15" customHeight="1" x14ac:dyDescent="0.25">
      <c r="A500" s="32" t="s">
        <v>182</v>
      </c>
      <c r="B500" s="32" t="s">
        <v>62</v>
      </c>
      <c r="C500" s="32" t="s">
        <v>154</v>
      </c>
      <c r="D500" s="32">
        <v>48.01</v>
      </c>
      <c r="E500" s="32">
        <v>48.5</v>
      </c>
      <c r="F500" s="32" t="s">
        <v>173</v>
      </c>
      <c r="G500" s="32">
        <v>7.3887999999999998</v>
      </c>
      <c r="H500" s="32">
        <v>4.3887999999999998</v>
      </c>
      <c r="I500" s="32" t="s">
        <v>174</v>
      </c>
      <c r="J500" s="32">
        <v>2</v>
      </c>
      <c r="K500" s="32" t="s">
        <v>183</v>
      </c>
      <c r="L500" s="18">
        <f t="shared" si="7"/>
        <v>999999999</v>
      </c>
    </row>
    <row r="501" spans="1:12" ht="15" customHeight="1" x14ac:dyDescent="0.25">
      <c r="A501" s="32" t="s">
        <v>182</v>
      </c>
      <c r="B501" s="32" t="s">
        <v>62</v>
      </c>
      <c r="C501" s="32" t="s">
        <v>154</v>
      </c>
      <c r="D501" s="32">
        <v>48.51</v>
      </c>
      <c r="E501" s="32">
        <v>49</v>
      </c>
      <c r="F501" s="32" t="s">
        <v>173</v>
      </c>
      <c r="G501" s="32">
        <v>7.3887999999999998</v>
      </c>
      <c r="H501" s="32">
        <v>3.3887999999999998</v>
      </c>
      <c r="I501" s="32" t="s">
        <v>174</v>
      </c>
      <c r="J501" s="32">
        <v>2</v>
      </c>
      <c r="K501" s="32" t="s">
        <v>183</v>
      </c>
      <c r="L501" s="18">
        <f t="shared" si="7"/>
        <v>999999999</v>
      </c>
    </row>
    <row r="502" spans="1:12" ht="15" customHeight="1" x14ac:dyDescent="0.25">
      <c r="A502" s="32" t="s">
        <v>182</v>
      </c>
      <c r="B502" s="32" t="s">
        <v>62</v>
      </c>
      <c r="C502" s="32" t="s">
        <v>154</v>
      </c>
      <c r="D502" s="32">
        <v>49.01</v>
      </c>
      <c r="E502" s="32">
        <v>49.5</v>
      </c>
      <c r="F502" s="32" t="s">
        <v>173</v>
      </c>
      <c r="G502" s="32">
        <v>7.4576000000000002</v>
      </c>
      <c r="H502" s="32">
        <v>3.4575999999999998</v>
      </c>
      <c r="I502" s="32" t="s">
        <v>174</v>
      </c>
      <c r="J502" s="32">
        <v>2</v>
      </c>
      <c r="K502" s="32" t="s">
        <v>183</v>
      </c>
      <c r="L502" s="18">
        <f t="shared" si="7"/>
        <v>999999999</v>
      </c>
    </row>
    <row r="503" spans="1:12" ht="15" customHeight="1" x14ac:dyDescent="0.25">
      <c r="A503" s="32" t="s">
        <v>182</v>
      </c>
      <c r="B503" s="32" t="s">
        <v>62</v>
      </c>
      <c r="C503" s="32" t="s">
        <v>154</v>
      </c>
      <c r="D503" s="32">
        <v>49.51</v>
      </c>
      <c r="E503" s="32">
        <v>50</v>
      </c>
      <c r="F503" s="32" t="s">
        <v>173</v>
      </c>
      <c r="G503" s="32">
        <v>7.4576000000000002</v>
      </c>
      <c r="H503" s="32">
        <v>2.4575999999999998</v>
      </c>
      <c r="I503" s="32" t="s">
        <v>174</v>
      </c>
      <c r="J503" s="32">
        <v>2</v>
      </c>
      <c r="K503" s="32" t="s">
        <v>183</v>
      </c>
      <c r="L503" s="18">
        <f t="shared" si="7"/>
        <v>999999999</v>
      </c>
    </row>
    <row r="504" spans="1:12" ht="15" customHeight="1" x14ac:dyDescent="0.25">
      <c r="A504" s="32" t="s">
        <v>182</v>
      </c>
      <c r="B504" s="32" t="s">
        <v>62</v>
      </c>
      <c r="C504" s="32" t="s">
        <v>154</v>
      </c>
      <c r="D504" s="32">
        <v>50.01</v>
      </c>
      <c r="E504" s="32">
        <v>50.5</v>
      </c>
      <c r="F504" s="32" t="s">
        <v>173</v>
      </c>
      <c r="G504" s="32">
        <v>7.5259999999999998</v>
      </c>
      <c r="H504" s="32">
        <v>3.5259999999999998</v>
      </c>
      <c r="I504" s="32" t="s">
        <v>174</v>
      </c>
      <c r="J504" s="32">
        <v>2</v>
      </c>
      <c r="K504" s="32" t="s">
        <v>183</v>
      </c>
      <c r="L504" s="18">
        <f t="shared" si="7"/>
        <v>999999999</v>
      </c>
    </row>
    <row r="505" spans="1:12" ht="15" customHeight="1" x14ac:dyDescent="0.25">
      <c r="A505" s="32" t="s">
        <v>182</v>
      </c>
      <c r="B505" s="32" t="s">
        <v>62</v>
      </c>
      <c r="C505" s="32" t="s">
        <v>154</v>
      </c>
      <c r="D505" s="32">
        <v>50.51</v>
      </c>
      <c r="E505" s="32">
        <v>51</v>
      </c>
      <c r="F505" s="32" t="s">
        <v>173</v>
      </c>
      <c r="G505" s="32">
        <v>7.5259999999999998</v>
      </c>
      <c r="H505" s="32">
        <v>2.5259999999999998</v>
      </c>
      <c r="I505" s="32" t="s">
        <v>174</v>
      </c>
      <c r="J505" s="32">
        <v>2</v>
      </c>
      <c r="K505" s="32" t="s">
        <v>183</v>
      </c>
      <c r="L505" s="18">
        <f t="shared" si="7"/>
        <v>999999999</v>
      </c>
    </row>
    <row r="506" spans="1:12" ht="15" customHeight="1" x14ac:dyDescent="0.25">
      <c r="A506" s="32" t="s">
        <v>182</v>
      </c>
      <c r="B506" s="32" t="s">
        <v>62</v>
      </c>
      <c r="C506" s="32" t="s">
        <v>154</v>
      </c>
      <c r="D506" s="32">
        <v>51.01</v>
      </c>
      <c r="E506" s="32">
        <v>51.5</v>
      </c>
      <c r="F506" s="32" t="s">
        <v>173</v>
      </c>
      <c r="G506" s="32">
        <v>7.5948000000000002</v>
      </c>
      <c r="H506" s="32">
        <v>3.5948000000000002</v>
      </c>
      <c r="I506" s="32" t="s">
        <v>174</v>
      </c>
      <c r="J506" s="32">
        <v>2</v>
      </c>
      <c r="K506" s="32" t="s">
        <v>183</v>
      </c>
      <c r="L506" s="18">
        <f t="shared" si="7"/>
        <v>999999999</v>
      </c>
    </row>
    <row r="507" spans="1:12" ht="15" customHeight="1" x14ac:dyDescent="0.25">
      <c r="A507" s="32" t="s">
        <v>182</v>
      </c>
      <c r="B507" s="32" t="s">
        <v>62</v>
      </c>
      <c r="C507" s="32" t="s">
        <v>154</v>
      </c>
      <c r="D507" s="32">
        <v>51.51</v>
      </c>
      <c r="E507" s="32">
        <v>52</v>
      </c>
      <c r="F507" s="32" t="s">
        <v>173</v>
      </c>
      <c r="G507" s="32">
        <v>7.5948000000000002</v>
      </c>
      <c r="H507" s="32">
        <v>2.5948000000000002</v>
      </c>
      <c r="I507" s="32" t="s">
        <v>174</v>
      </c>
      <c r="J507" s="32">
        <v>2</v>
      </c>
      <c r="K507" s="32" t="s">
        <v>183</v>
      </c>
      <c r="L507" s="18">
        <f t="shared" si="7"/>
        <v>999999999</v>
      </c>
    </row>
    <row r="508" spans="1:12" ht="15" customHeight="1" x14ac:dyDescent="0.25">
      <c r="A508" s="32" t="s">
        <v>182</v>
      </c>
      <c r="B508" s="32" t="s">
        <v>62</v>
      </c>
      <c r="C508" s="32" t="s">
        <v>154</v>
      </c>
      <c r="D508" s="32">
        <v>52.01</v>
      </c>
      <c r="E508" s="32">
        <v>52.5</v>
      </c>
      <c r="F508" s="32" t="s">
        <v>173</v>
      </c>
      <c r="G508" s="32">
        <v>7.6635999999999997</v>
      </c>
      <c r="H508" s="32">
        <v>2.6636000000000002</v>
      </c>
      <c r="I508" s="32" t="s">
        <v>174</v>
      </c>
      <c r="J508" s="32">
        <v>2</v>
      </c>
      <c r="K508" s="32" t="s">
        <v>183</v>
      </c>
      <c r="L508" s="18">
        <f t="shared" si="7"/>
        <v>999999999</v>
      </c>
    </row>
    <row r="509" spans="1:12" ht="15" customHeight="1" x14ac:dyDescent="0.25">
      <c r="A509" s="32" t="s">
        <v>182</v>
      </c>
      <c r="B509" s="32" t="s">
        <v>62</v>
      </c>
      <c r="C509" s="32" t="s">
        <v>154</v>
      </c>
      <c r="D509" s="32">
        <v>52.51</v>
      </c>
      <c r="E509" s="32">
        <v>53</v>
      </c>
      <c r="F509" s="32" t="s">
        <v>173</v>
      </c>
      <c r="G509" s="32">
        <v>7.6635999999999997</v>
      </c>
      <c r="H509" s="32">
        <v>4.6635999999999997</v>
      </c>
      <c r="I509" s="32" t="s">
        <v>174</v>
      </c>
      <c r="J509" s="32">
        <v>2</v>
      </c>
      <c r="K509" s="32" t="s">
        <v>183</v>
      </c>
      <c r="L509" s="18">
        <f t="shared" si="7"/>
        <v>999999999</v>
      </c>
    </row>
    <row r="510" spans="1:12" ht="15" customHeight="1" x14ac:dyDescent="0.25">
      <c r="A510" s="32" t="s">
        <v>182</v>
      </c>
      <c r="B510" s="32" t="s">
        <v>62</v>
      </c>
      <c r="C510" s="32" t="s">
        <v>154</v>
      </c>
      <c r="D510" s="32">
        <v>53.01</v>
      </c>
      <c r="E510" s="32">
        <v>53.5</v>
      </c>
      <c r="F510" s="32" t="s">
        <v>173</v>
      </c>
      <c r="G510" s="32">
        <v>7.7320000000000002</v>
      </c>
      <c r="H510" s="32">
        <v>4.7320000000000002</v>
      </c>
      <c r="I510" s="32" t="s">
        <v>174</v>
      </c>
      <c r="J510" s="32">
        <v>2</v>
      </c>
      <c r="K510" s="32" t="s">
        <v>183</v>
      </c>
      <c r="L510" s="18">
        <f t="shared" si="7"/>
        <v>999999999</v>
      </c>
    </row>
    <row r="511" spans="1:12" ht="15" customHeight="1" x14ac:dyDescent="0.25">
      <c r="A511" s="32" t="s">
        <v>182</v>
      </c>
      <c r="B511" s="32" t="s">
        <v>62</v>
      </c>
      <c r="C511" s="32" t="s">
        <v>154</v>
      </c>
      <c r="D511" s="32">
        <v>53.51</v>
      </c>
      <c r="E511" s="32">
        <v>54</v>
      </c>
      <c r="F511" s="32" t="s">
        <v>173</v>
      </c>
      <c r="G511" s="32">
        <v>7.7320000000000002</v>
      </c>
      <c r="H511" s="32">
        <v>3.7320000000000002</v>
      </c>
      <c r="I511" s="32" t="s">
        <v>174</v>
      </c>
      <c r="J511" s="32">
        <v>2</v>
      </c>
      <c r="K511" s="32" t="s">
        <v>183</v>
      </c>
      <c r="L511" s="18">
        <f t="shared" si="7"/>
        <v>999999999</v>
      </c>
    </row>
    <row r="512" spans="1:12" ht="15" customHeight="1" x14ac:dyDescent="0.25">
      <c r="A512" s="32" t="s">
        <v>182</v>
      </c>
      <c r="B512" s="32" t="s">
        <v>62</v>
      </c>
      <c r="C512" s="32" t="s">
        <v>154</v>
      </c>
      <c r="D512" s="32">
        <v>54.01</v>
      </c>
      <c r="E512" s="32">
        <v>54.5</v>
      </c>
      <c r="F512" s="32" t="s">
        <v>173</v>
      </c>
      <c r="G512" s="32">
        <v>7.8003999999999998</v>
      </c>
      <c r="H512" s="32">
        <v>3.8003999999999998</v>
      </c>
      <c r="I512" s="32" t="s">
        <v>174</v>
      </c>
      <c r="J512" s="32">
        <v>2</v>
      </c>
      <c r="K512" s="32" t="s">
        <v>183</v>
      </c>
      <c r="L512" s="18">
        <f t="shared" si="7"/>
        <v>999999999</v>
      </c>
    </row>
    <row r="513" spans="1:12" ht="15" customHeight="1" x14ac:dyDescent="0.25">
      <c r="A513" s="32" t="s">
        <v>182</v>
      </c>
      <c r="B513" s="32" t="s">
        <v>62</v>
      </c>
      <c r="C513" s="32" t="s">
        <v>154</v>
      </c>
      <c r="D513" s="32">
        <v>54.51</v>
      </c>
      <c r="E513" s="32">
        <v>55</v>
      </c>
      <c r="F513" s="32" t="s">
        <v>173</v>
      </c>
      <c r="G513" s="32">
        <v>7.8003999999999998</v>
      </c>
      <c r="H513" s="32">
        <v>2.8003999999999998</v>
      </c>
      <c r="I513" s="32" t="s">
        <v>174</v>
      </c>
      <c r="J513" s="32">
        <v>2</v>
      </c>
      <c r="K513" s="32" t="s">
        <v>183</v>
      </c>
      <c r="L513" s="18">
        <f t="shared" si="7"/>
        <v>999999999</v>
      </c>
    </row>
    <row r="514" spans="1:12" ht="15" customHeight="1" x14ac:dyDescent="0.25">
      <c r="A514" s="32" t="s">
        <v>182</v>
      </c>
      <c r="B514" s="32" t="s">
        <v>62</v>
      </c>
      <c r="C514" s="32" t="s">
        <v>154</v>
      </c>
      <c r="D514" s="32">
        <v>55.01</v>
      </c>
      <c r="E514" s="32">
        <v>55.5</v>
      </c>
      <c r="F514" s="32" t="s">
        <v>173</v>
      </c>
      <c r="G514" s="32">
        <v>7.8692000000000002</v>
      </c>
      <c r="H514" s="32">
        <v>2.8692000000000002</v>
      </c>
      <c r="I514" s="32" t="s">
        <v>174</v>
      </c>
      <c r="J514" s="32">
        <v>2</v>
      </c>
      <c r="K514" s="32" t="s">
        <v>183</v>
      </c>
      <c r="L514" s="18">
        <f t="shared" ref="L514:L577" si="8">IF(AND(B514=Quote_Port,D514&lt;=Quote_Weight,Quote_Weight&lt;=E514,OR(Quote_2Day="No",J514&lt;=2)),MAX(G514,Quote_Weight*H514)*Quote_USDINR,999999999)</f>
        <v>999999999</v>
      </c>
    </row>
    <row r="515" spans="1:12" ht="15" customHeight="1" x14ac:dyDescent="0.25">
      <c r="A515" s="32" t="s">
        <v>182</v>
      </c>
      <c r="B515" s="32" t="s">
        <v>62</v>
      </c>
      <c r="C515" s="32" t="s">
        <v>154</v>
      </c>
      <c r="D515" s="32">
        <v>55.51</v>
      </c>
      <c r="E515" s="32">
        <v>56</v>
      </c>
      <c r="F515" s="32" t="s">
        <v>173</v>
      </c>
      <c r="G515" s="32">
        <v>7.8692000000000002</v>
      </c>
      <c r="H515" s="32">
        <v>2.8692000000000002</v>
      </c>
      <c r="I515" s="32" t="s">
        <v>174</v>
      </c>
      <c r="J515" s="32">
        <v>2</v>
      </c>
      <c r="K515" s="32" t="s">
        <v>183</v>
      </c>
      <c r="L515" s="18">
        <f t="shared" si="8"/>
        <v>999999999</v>
      </c>
    </row>
    <row r="516" spans="1:12" ht="15" customHeight="1" x14ac:dyDescent="0.25">
      <c r="A516" s="32" t="s">
        <v>182</v>
      </c>
      <c r="B516" s="32" t="s">
        <v>62</v>
      </c>
      <c r="C516" s="32" t="s">
        <v>154</v>
      </c>
      <c r="D516" s="32">
        <v>56.01</v>
      </c>
      <c r="E516" s="32">
        <v>56.5</v>
      </c>
      <c r="F516" s="32" t="s">
        <v>173</v>
      </c>
      <c r="G516" s="32">
        <v>7.9375999999999998</v>
      </c>
      <c r="H516" s="32">
        <v>2.9376000000000002</v>
      </c>
      <c r="I516" s="32" t="s">
        <v>174</v>
      </c>
      <c r="J516" s="32">
        <v>2</v>
      </c>
      <c r="K516" s="32" t="s">
        <v>183</v>
      </c>
      <c r="L516" s="18">
        <f t="shared" si="8"/>
        <v>999999999</v>
      </c>
    </row>
    <row r="517" spans="1:12" ht="15" customHeight="1" x14ac:dyDescent="0.25">
      <c r="A517" s="32" t="s">
        <v>182</v>
      </c>
      <c r="B517" s="32" t="s">
        <v>62</v>
      </c>
      <c r="C517" s="32" t="s">
        <v>154</v>
      </c>
      <c r="D517" s="32">
        <v>56.51</v>
      </c>
      <c r="E517" s="32">
        <v>57</v>
      </c>
      <c r="F517" s="32" t="s">
        <v>173</v>
      </c>
      <c r="G517" s="32">
        <v>7.9375999999999998</v>
      </c>
      <c r="H517" s="32">
        <v>4.9375999999999998</v>
      </c>
      <c r="I517" s="32" t="s">
        <v>174</v>
      </c>
      <c r="J517" s="32">
        <v>2</v>
      </c>
      <c r="K517" s="32" t="s">
        <v>183</v>
      </c>
      <c r="L517" s="18">
        <f t="shared" si="8"/>
        <v>999999999</v>
      </c>
    </row>
    <row r="518" spans="1:12" ht="15" customHeight="1" x14ac:dyDescent="0.25">
      <c r="A518" s="32" t="s">
        <v>182</v>
      </c>
      <c r="B518" s="32" t="s">
        <v>62</v>
      </c>
      <c r="C518" s="32" t="s">
        <v>154</v>
      </c>
      <c r="D518" s="32">
        <v>57.01</v>
      </c>
      <c r="E518" s="32">
        <v>57.5</v>
      </c>
      <c r="F518" s="32" t="s">
        <v>173</v>
      </c>
      <c r="G518" s="32">
        <v>9.0063999999999993</v>
      </c>
      <c r="H518" s="32">
        <v>5.0064000000000002</v>
      </c>
      <c r="I518" s="32" t="s">
        <v>174</v>
      </c>
      <c r="J518" s="32">
        <v>2</v>
      </c>
      <c r="K518" s="32" t="s">
        <v>183</v>
      </c>
      <c r="L518" s="18">
        <f t="shared" si="8"/>
        <v>999999999</v>
      </c>
    </row>
    <row r="519" spans="1:12" ht="15" customHeight="1" x14ac:dyDescent="0.25">
      <c r="A519" s="32" t="s">
        <v>182</v>
      </c>
      <c r="B519" s="32" t="s">
        <v>62</v>
      </c>
      <c r="C519" s="32" t="s">
        <v>154</v>
      </c>
      <c r="D519" s="32">
        <v>57.51</v>
      </c>
      <c r="E519" s="32">
        <v>58</v>
      </c>
      <c r="F519" s="32" t="s">
        <v>173</v>
      </c>
      <c r="G519" s="32">
        <v>9.0063999999999993</v>
      </c>
      <c r="H519" s="32">
        <v>6.0064000000000002</v>
      </c>
      <c r="I519" s="32" t="s">
        <v>174</v>
      </c>
      <c r="J519" s="32">
        <v>2</v>
      </c>
      <c r="K519" s="32" t="s">
        <v>183</v>
      </c>
      <c r="L519" s="18">
        <f t="shared" si="8"/>
        <v>999999999</v>
      </c>
    </row>
    <row r="520" spans="1:12" ht="15" customHeight="1" x14ac:dyDescent="0.25">
      <c r="A520" s="32" t="s">
        <v>182</v>
      </c>
      <c r="B520" s="32" t="s">
        <v>62</v>
      </c>
      <c r="C520" s="32" t="s">
        <v>154</v>
      </c>
      <c r="D520" s="32">
        <v>58.01</v>
      </c>
      <c r="E520" s="32">
        <v>58.5</v>
      </c>
      <c r="F520" s="32" t="s">
        <v>173</v>
      </c>
      <c r="G520" s="32">
        <v>9.0744000000000007</v>
      </c>
      <c r="H520" s="32">
        <v>6.0743999999999998</v>
      </c>
      <c r="I520" s="32" t="s">
        <v>174</v>
      </c>
      <c r="J520" s="32">
        <v>2</v>
      </c>
      <c r="K520" s="32" t="s">
        <v>183</v>
      </c>
      <c r="L520" s="18">
        <f t="shared" si="8"/>
        <v>999999999</v>
      </c>
    </row>
    <row r="521" spans="1:12" ht="15" customHeight="1" x14ac:dyDescent="0.25">
      <c r="A521" s="32" t="s">
        <v>182</v>
      </c>
      <c r="B521" s="32" t="s">
        <v>62</v>
      </c>
      <c r="C521" s="32" t="s">
        <v>154</v>
      </c>
      <c r="D521" s="32">
        <v>58.51</v>
      </c>
      <c r="E521" s="32">
        <v>59</v>
      </c>
      <c r="F521" s="32" t="s">
        <v>173</v>
      </c>
      <c r="G521" s="32">
        <v>9.0744000000000007</v>
      </c>
      <c r="H521" s="32">
        <v>2.0743999999999998</v>
      </c>
      <c r="I521" s="32" t="s">
        <v>174</v>
      </c>
      <c r="J521" s="32">
        <v>2</v>
      </c>
      <c r="K521" s="32" t="s">
        <v>183</v>
      </c>
      <c r="L521" s="18">
        <f t="shared" si="8"/>
        <v>999999999</v>
      </c>
    </row>
    <row r="522" spans="1:12" ht="15" customHeight="1" x14ac:dyDescent="0.25">
      <c r="A522" s="32" t="s">
        <v>182</v>
      </c>
      <c r="B522" s="32" t="s">
        <v>62</v>
      </c>
      <c r="C522" s="32" t="s">
        <v>154</v>
      </c>
      <c r="D522" s="32">
        <v>59.01</v>
      </c>
      <c r="E522" s="32">
        <v>59.5</v>
      </c>
      <c r="F522" s="32" t="s">
        <v>173</v>
      </c>
      <c r="G522" s="32">
        <v>9.1432000000000002</v>
      </c>
      <c r="H522" s="32">
        <v>5.1432000000000002</v>
      </c>
      <c r="I522" s="32" t="s">
        <v>174</v>
      </c>
      <c r="J522" s="32">
        <v>2</v>
      </c>
      <c r="K522" s="32" t="s">
        <v>183</v>
      </c>
      <c r="L522" s="18">
        <f t="shared" si="8"/>
        <v>999999999</v>
      </c>
    </row>
    <row r="523" spans="1:12" ht="15" customHeight="1" x14ac:dyDescent="0.25">
      <c r="A523" s="32" t="s">
        <v>182</v>
      </c>
      <c r="B523" s="32" t="s">
        <v>62</v>
      </c>
      <c r="C523" s="32" t="s">
        <v>154</v>
      </c>
      <c r="D523" s="32">
        <v>59.51</v>
      </c>
      <c r="E523" s="32">
        <v>60</v>
      </c>
      <c r="F523" s="32" t="s">
        <v>173</v>
      </c>
      <c r="G523" s="32">
        <v>9.1432000000000002</v>
      </c>
      <c r="H523" s="32">
        <v>6.1432000000000002</v>
      </c>
      <c r="I523" s="32" t="s">
        <v>174</v>
      </c>
      <c r="J523" s="32">
        <v>2</v>
      </c>
      <c r="K523" s="32" t="s">
        <v>183</v>
      </c>
      <c r="L523" s="18">
        <f t="shared" si="8"/>
        <v>999999999</v>
      </c>
    </row>
    <row r="524" spans="1:12" ht="15" customHeight="1" x14ac:dyDescent="0.25">
      <c r="A524" s="32" t="s">
        <v>182</v>
      </c>
      <c r="B524" s="32" t="s">
        <v>62</v>
      </c>
      <c r="C524" s="32" t="s">
        <v>154</v>
      </c>
      <c r="D524" s="32">
        <v>60.01</v>
      </c>
      <c r="E524" s="32">
        <v>60.5</v>
      </c>
      <c r="F524" s="32" t="s">
        <v>173</v>
      </c>
      <c r="G524" s="32">
        <v>9.2119999999999997</v>
      </c>
      <c r="H524" s="32">
        <v>3.2120000000000002</v>
      </c>
      <c r="I524" s="32" t="s">
        <v>174</v>
      </c>
      <c r="J524" s="32">
        <v>2</v>
      </c>
      <c r="K524" s="32" t="s">
        <v>183</v>
      </c>
      <c r="L524" s="18">
        <f t="shared" si="8"/>
        <v>999999999</v>
      </c>
    </row>
    <row r="525" spans="1:12" ht="15" customHeight="1" x14ac:dyDescent="0.25">
      <c r="A525" s="32" t="s">
        <v>182</v>
      </c>
      <c r="B525" s="32" t="s">
        <v>62</v>
      </c>
      <c r="C525" s="32" t="s">
        <v>154</v>
      </c>
      <c r="D525" s="32">
        <v>60.51</v>
      </c>
      <c r="E525" s="32">
        <v>61</v>
      </c>
      <c r="F525" s="32" t="s">
        <v>173</v>
      </c>
      <c r="G525" s="32">
        <v>9.2119999999999997</v>
      </c>
      <c r="H525" s="32">
        <v>4.2119999999999997</v>
      </c>
      <c r="I525" s="32" t="s">
        <v>174</v>
      </c>
      <c r="J525" s="32">
        <v>2</v>
      </c>
      <c r="K525" s="32" t="s">
        <v>183</v>
      </c>
      <c r="L525" s="18">
        <f t="shared" si="8"/>
        <v>999999999</v>
      </c>
    </row>
    <row r="526" spans="1:12" ht="15" customHeight="1" x14ac:dyDescent="0.25">
      <c r="A526" s="32" t="s">
        <v>182</v>
      </c>
      <c r="B526" s="32" t="s">
        <v>62</v>
      </c>
      <c r="C526" s="32" t="s">
        <v>154</v>
      </c>
      <c r="D526" s="32">
        <v>61.01</v>
      </c>
      <c r="E526" s="32">
        <v>61.5</v>
      </c>
      <c r="F526" s="32" t="s">
        <v>173</v>
      </c>
      <c r="G526" s="32">
        <v>9.2807999999999993</v>
      </c>
      <c r="H526" s="32">
        <v>4.2808000000000002</v>
      </c>
      <c r="I526" s="32" t="s">
        <v>174</v>
      </c>
      <c r="J526" s="32">
        <v>2</v>
      </c>
      <c r="K526" s="32" t="s">
        <v>183</v>
      </c>
      <c r="L526" s="18">
        <f t="shared" si="8"/>
        <v>999999999</v>
      </c>
    </row>
    <row r="527" spans="1:12" ht="15" customHeight="1" x14ac:dyDescent="0.25">
      <c r="A527" s="32" t="s">
        <v>182</v>
      </c>
      <c r="B527" s="32" t="s">
        <v>62</v>
      </c>
      <c r="C527" s="32" t="s">
        <v>154</v>
      </c>
      <c r="D527" s="32">
        <v>61.51</v>
      </c>
      <c r="E527" s="32">
        <v>62</v>
      </c>
      <c r="F527" s="32" t="s">
        <v>173</v>
      </c>
      <c r="G527" s="32">
        <v>9.2807999999999993</v>
      </c>
      <c r="H527" s="32">
        <v>6.2808000000000002</v>
      </c>
      <c r="I527" s="32" t="s">
        <v>174</v>
      </c>
      <c r="J527" s="32">
        <v>2</v>
      </c>
      <c r="K527" s="32" t="s">
        <v>183</v>
      </c>
      <c r="L527" s="18">
        <f t="shared" si="8"/>
        <v>999999999</v>
      </c>
    </row>
    <row r="528" spans="1:12" ht="15" customHeight="1" x14ac:dyDescent="0.25">
      <c r="A528" s="32" t="s">
        <v>182</v>
      </c>
      <c r="B528" s="32" t="s">
        <v>62</v>
      </c>
      <c r="C528" s="32" t="s">
        <v>154</v>
      </c>
      <c r="D528" s="32">
        <v>62.01</v>
      </c>
      <c r="E528" s="32">
        <v>62.5</v>
      </c>
      <c r="F528" s="32" t="s">
        <v>173</v>
      </c>
      <c r="G528" s="32">
        <v>9.3491999999999997</v>
      </c>
      <c r="H528" s="32">
        <v>6.3491999999999997</v>
      </c>
      <c r="I528" s="32" t="s">
        <v>174</v>
      </c>
      <c r="J528" s="32">
        <v>2</v>
      </c>
      <c r="K528" s="32" t="s">
        <v>183</v>
      </c>
      <c r="L528" s="18">
        <f t="shared" si="8"/>
        <v>999999999</v>
      </c>
    </row>
    <row r="529" spans="1:12" ht="15" customHeight="1" x14ac:dyDescent="0.25">
      <c r="A529" s="32" t="s">
        <v>182</v>
      </c>
      <c r="B529" s="32" t="s">
        <v>62</v>
      </c>
      <c r="C529" s="32" t="s">
        <v>154</v>
      </c>
      <c r="D529" s="32">
        <v>62.51</v>
      </c>
      <c r="E529" s="32">
        <v>63</v>
      </c>
      <c r="F529" s="32" t="s">
        <v>173</v>
      </c>
      <c r="G529" s="32">
        <v>9.3491999999999997</v>
      </c>
      <c r="H529" s="32">
        <v>3.3492000000000002</v>
      </c>
      <c r="I529" s="32" t="s">
        <v>174</v>
      </c>
      <c r="J529" s="32">
        <v>2</v>
      </c>
      <c r="K529" s="32" t="s">
        <v>183</v>
      </c>
      <c r="L529" s="18">
        <f t="shared" si="8"/>
        <v>999999999</v>
      </c>
    </row>
    <row r="530" spans="1:12" ht="15" customHeight="1" x14ac:dyDescent="0.25">
      <c r="A530" s="32" t="s">
        <v>182</v>
      </c>
      <c r="B530" s="32" t="s">
        <v>62</v>
      </c>
      <c r="C530" s="32" t="s">
        <v>154</v>
      </c>
      <c r="D530" s="32">
        <v>63.01</v>
      </c>
      <c r="E530" s="32">
        <v>63.5</v>
      </c>
      <c r="F530" s="32" t="s">
        <v>173</v>
      </c>
      <c r="G530" s="32">
        <v>9.4176000000000002</v>
      </c>
      <c r="H530" s="32">
        <v>6.4176000000000002</v>
      </c>
      <c r="I530" s="32" t="s">
        <v>174</v>
      </c>
      <c r="J530" s="32">
        <v>2</v>
      </c>
      <c r="K530" s="32" t="s">
        <v>183</v>
      </c>
      <c r="L530" s="18">
        <f t="shared" si="8"/>
        <v>999999999</v>
      </c>
    </row>
    <row r="531" spans="1:12" ht="15" customHeight="1" x14ac:dyDescent="0.25">
      <c r="A531" s="32" t="s">
        <v>182</v>
      </c>
      <c r="B531" s="32" t="s">
        <v>62</v>
      </c>
      <c r="C531" s="32" t="s">
        <v>154</v>
      </c>
      <c r="D531" s="32">
        <v>63.51</v>
      </c>
      <c r="E531" s="32">
        <v>64</v>
      </c>
      <c r="F531" s="32" t="s">
        <v>173</v>
      </c>
      <c r="G531" s="32">
        <v>9.4176000000000002</v>
      </c>
      <c r="H531" s="32">
        <v>6.4176000000000002</v>
      </c>
      <c r="I531" s="32" t="s">
        <v>174</v>
      </c>
      <c r="J531" s="32">
        <v>2</v>
      </c>
      <c r="K531" s="32" t="s">
        <v>183</v>
      </c>
      <c r="L531" s="18">
        <f t="shared" si="8"/>
        <v>999999999</v>
      </c>
    </row>
    <row r="532" spans="1:12" ht="15" customHeight="1" x14ac:dyDescent="0.25">
      <c r="A532" s="32" t="s">
        <v>182</v>
      </c>
      <c r="B532" s="32" t="s">
        <v>62</v>
      </c>
      <c r="C532" s="32" t="s">
        <v>154</v>
      </c>
      <c r="D532" s="32">
        <v>64.010000000000005</v>
      </c>
      <c r="E532" s="32">
        <v>64.5</v>
      </c>
      <c r="F532" s="32" t="s">
        <v>173</v>
      </c>
      <c r="G532" s="32">
        <v>9.4863999999999997</v>
      </c>
      <c r="H532" s="32">
        <v>6.4863999999999997</v>
      </c>
      <c r="I532" s="32" t="s">
        <v>174</v>
      </c>
      <c r="J532" s="32">
        <v>2</v>
      </c>
      <c r="K532" s="32" t="s">
        <v>183</v>
      </c>
      <c r="L532" s="18">
        <f t="shared" si="8"/>
        <v>999999999</v>
      </c>
    </row>
    <row r="533" spans="1:12" ht="15" customHeight="1" x14ac:dyDescent="0.25">
      <c r="A533" s="32" t="s">
        <v>182</v>
      </c>
      <c r="B533" s="32" t="s">
        <v>62</v>
      </c>
      <c r="C533" s="32" t="s">
        <v>154</v>
      </c>
      <c r="D533" s="32">
        <v>64.510000000000005</v>
      </c>
      <c r="E533" s="32">
        <v>65</v>
      </c>
      <c r="F533" s="32" t="s">
        <v>173</v>
      </c>
      <c r="G533" s="32">
        <v>9.4863999999999997</v>
      </c>
      <c r="H533" s="32">
        <v>4.4863999999999997</v>
      </c>
      <c r="I533" s="32" t="s">
        <v>174</v>
      </c>
      <c r="J533" s="32">
        <v>2</v>
      </c>
      <c r="K533" s="32" t="s">
        <v>183</v>
      </c>
      <c r="L533" s="18">
        <f t="shared" si="8"/>
        <v>999999999</v>
      </c>
    </row>
    <row r="534" spans="1:12" ht="15" customHeight="1" x14ac:dyDescent="0.25">
      <c r="A534" s="32" t="s">
        <v>182</v>
      </c>
      <c r="B534" s="32" t="s">
        <v>62</v>
      </c>
      <c r="C534" s="32" t="s">
        <v>154</v>
      </c>
      <c r="D534" s="32">
        <v>65.010000000000005</v>
      </c>
      <c r="E534" s="32">
        <v>65.5</v>
      </c>
      <c r="F534" s="32" t="s">
        <v>173</v>
      </c>
      <c r="G534" s="32">
        <v>9.5543999999999993</v>
      </c>
      <c r="H534" s="32">
        <v>4.5544000000000002</v>
      </c>
      <c r="I534" s="32" t="s">
        <v>174</v>
      </c>
      <c r="J534" s="32">
        <v>2</v>
      </c>
      <c r="K534" s="32" t="s">
        <v>183</v>
      </c>
      <c r="L534" s="18">
        <f t="shared" si="8"/>
        <v>999999999</v>
      </c>
    </row>
    <row r="535" spans="1:12" ht="15" customHeight="1" x14ac:dyDescent="0.25">
      <c r="A535" s="32" t="s">
        <v>182</v>
      </c>
      <c r="B535" s="32" t="s">
        <v>62</v>
      </c>
      <c r="C535" s="32" t="s">
        <v>154</v>
      </c>
      <c r="D535" s="32">
        <v>65.510000000000005</v>
      </c>
      <c r="E535" s="32">
        <v>66</v>
      </c>
      <c r="F535" s="32" t="s">
        <v>173</v>
      </c>
      <c r="G535" s="32">
        <v>9.5543999999999993</v>
      </c>
      <c r="H535" s="32">
        <v>3.5543999999999998</v>
      </c>
      <c r="I535" s="32" t="s">
        <v>174</v>
      </c>
      <c r="J535" s="32">
        <v>2</v>
      </c>
      <c r="K535" s="32" t="s">
        <v>183</v>
      </c>
      <c r="L535" s="18">
        <f t="shared" si="8"/>
        <v>999999999</v>
      </c>
    </row>
    <row r="536" spans="1:12" ht="15" customHeight="1" x14ac:dyDescent="0.25">
      <c r="A536" s="32" t="s">
        <v>182</v>
      </c>
      <c r="B536" s="32" t="s">
        <v>62</v>
      </c>
      <c r="C536" s="32" t="s">
        <v>154</v>
      </c>
      <c r="D536" s="32">
        <v>66.010000000000005</v>
      </c>
      <c r="E536" s="32">
        <v>66.5</v>
      </c>
      <c r="F536" s="32" t="s">
        <v>173</v>
      </c>
      <c r="G536" s="32">
        <v>9.5884</v>
      </c>
      <c r="H536" s="32">
        <v>5.5884</v>
      </c>
      <c r="I536" s="32" t="s">
        <v>174</v>
      </c>
      <c r="J536" s="32">
        <v>2</v>
      </c>
      <c r="K536" s="32" t="s">
        <v>183</v>
      </c>
      <c r="L536" s="18">
        <f t="shared" si="8"/>
        <v>999999999</v>
      </c>
    </row>
    <row r="537" spans="1:12" ht="15" customHeight="1" x14ac:dyDescent="0.25">
      <c r="A537" s="32" t="s">
        <v>182</v>
      </c>
      <c r="B537" s="32" t="s">
        <v>62</v>
      </c>
      <c r="C537" s="32" t="s">
        <v>154</v>
      </c>
      <c r="D537" s="32">
        <v>66.510000000000005</v>
      </c>
      <c r="E537" s="32">
        <v>67</v>
      </c>
      <c r="F537" s="32" t="s">
        <v>173</v>
      </c>
      <c r="G537" s="32">
        <v>9.6224000000000007</v>
      </c>
      <c r="H537" s="32">
        <v>6.6223999999999998</v>
      </c>
      <c r="I537" s="32" t="s">
        <v>174</v>
      </c>
      <c r="J537" s="32">
        <v>2</v>
      </c>
      <c r="K537" s="32" t="s">
        <v>183</v>
      </c>
      <c r="L537" s="18">
        <f t="shared" si="8"/>
        <v>999999999</v>
      </c>
    </row>
    <row r="538" spans="1:12" ht="15" customHeight="1" x14ac:dyDescent="0.25">
      <c r="A538" s="32" t="s">
        <v>182</v>
      </c>
      <c r="B538" s="32" t="s">
        <v>62</v>
      </c>
      <c r="C538" s="32" t="s">
        <v>154</v>
      </c>
      <c r="D538" s="32">
        <v>67.010000000000005</v>
      </c>
      <c r="E538" s="32">
        <v>67.5</v>
      </c>
      <c r="F538" s="32" t="s">
        <v>173</v>
      </c>
      <c r="G538" s="32">
        <v>9.6563999999999997</v>
      </c>
      <c r="H538" s="32">
        <v>5.6563999999999997</v>
      </c>
      <c r="I538" s="32" t="s">
        <v>174</v>
      </c>
      <c r="J538" s="32">
        <v>2</v>
      </c>
      <c r="K538" s="32" t="s">
        <v>183</v>
      </c>
      <c r="L538" s="18">
        <f t="shared" si="8"/>
        <v>999999999</v>
      </c>
    </row>
    <row r="539" spans="1:12" ht="15" customHeight="1" x14ac:dyDescent="0.25">
      <c r="A539" s="32" t="s">
        <v>182</v>
      </c>
      <c r="B539" s="32" t="s">
        <v>62</v>
      </c>
      <c r="C539" s="32" t="s">
        <v>154</v>
      </c>
      <c r="D539" s="32">
        <v>67.510000000000005</v>
      </c>
      <c r="E539" s="32">
        <v>68</v>
      </c>
      <c r="F539" s="32" t="s">
        <v>173</v>
      </c>
      <c r="G539" s="32">
        <v>9.6904000000000003</v>
      </c>
      <c r="H539" s="32">
        <v>4.6904000000000003</v>
      </c>
      <c r="I539" s="32" t="s">
        <v>174</v>
      </c>
      <c r="J539" s="32">
        <v>2</v>
      </c>
      <c r="K539" s="32" t="s">
        <v>183</v>
      </c>
      <c r="L539" s="18">
        <f t="shared" si="8"/>
        <v>999999999</v>
      </c>
    </row>
    <row r="540" spans="1:12" ht="15" customHeight="1" x14ac:dyDescent="0.25">
      <c r="A540" s="32" t="s">
        <v>182</v>
      </c>
      <c r="B540" s="32" t="s">
        <v>62</v>
      </c>
      <c r="C540" s="32" t="s">
        <v>154</v>
      </c>
      <c r="D540" s="32">
        <v>68.010000000000005</v>
      </c>
      <c r="E540" s="32">
        <v>68.5</v>
      </c>
      <c r="F540" s="32" t="s">
        <v>173</v>
      </c>
      <c r="G540" s="32">
        <v>9.7276000000000007</v>
      </c>
      <c r="H540" s="32">
        <v>4.7275999999999998</v>
      </c>
      <c r="I540" s="32" t="s">
        <v>174</v>
      </c>
      <c r="J540" s="32">
        <v>2</v>
      </c>
      <c r="K540" s="32" t="s">
        <v>183</v>
      </c>
      <c r="L540" s="18">
        <f t="shared" si="8"/>
        <v>999999999</v>
      </c>
    </row>
    <row r="541" spans="1:12" ht="15" customHeight="1" x14ac:dyDescent="0.25">
      <c r="A541" s="32" t="s">
        <v>182</v>
      </c>
      <c r="B541" s="32" t="s">
        <v>62</v>
      </c>
      <c r="C541" s="32" t="s">
        <v>154</v>
      </c>
      <c r="D541" s="32">
        <v>68.510000000000005</v>
      </c>
      <c r="E541" s="32">
        <v>69</v>
      </c>
      <c r="F541" s="32" t="s">
        <v>173</v>
      </c>
      <c r="G541" s="32">
        <v>9.7276000000000007</v>
      </c>
      <c r="H541" s="32">
        <v>4.7275999999999998</v>
      </c>
      <c r="I541" s="32" t="s">
        <v>174</v>
      </c>
      <c r="J541" s="32">
        <v>2</v>
      </c>
      <c r="K541" s="32" t="s">
        <v>183</v>
      </c>
      <c r="L541" s="18">
        <f t="shared" si="8"/>
        <v>999999999</v>
      </c>
    </row>
    <row r="542" spans="1:12" ht="15" customHeight="1" x14ac:dyDescent="0.25">
      <c r="A542" s="32" t="s">
        <v>182</v>
      </c>
      <c r="B542" s="32" t="s">
        <v>62</v>
      </c>
      <c r="C542" s="32" t="s">
        <v>154</v>
      </c>
      <c r="D542" s="32">
        <v>69.010000000000005</v>
      </c>
      <c r="E542" s="32">
        <v>69.5</v>
      </c>
      <c r="F542" s="32" t="s">
        <v>173</v>
      </c>
      <c r="G542" s="32">
        <v>9.7276000000000007</v>
      </c>
      <c r="H542" s="32">
        <v>5.7275999999999998</v>
      </c>
      <c r="I542" s="32" t="s">
        <v>174</v>
      </c>
      <c r="J542" s="32">
        <v>2</v>
      </c>
      <c r="K542" s="32" t="s">
        <v>183</v>
      </c>
      <c r="L542" s="18">
        <f t="shared" si="8"/>
        <v>999999999</v>
      </c>
    </row>
    <row r="543" spans="1:12" ht="15" customHeight="1" x14ac:dyDescent="0.25">
      <c r="A543" s="32" t="s">
        <v>182</v>
      </c>
      <c r="B543" s="32" t="s">
        <v>62</v>
      </c>
      <c r="C543" s="32" t="s">
        <v>154</v>
      </c>
      <c r="D543" s="32">
        <v>69.510000000000005</v>
      </c>
      <c r="E543" s="32">
        <v>70</v>
      </c>
      <c r="F543" s="32" t="s">
        <v>173</v>
      </c>
      <c r="G543" s="32">
        <v>9.7276000000000007</v>
      </c>
      <c r="H543" s="32">
        <v>3.7275999999999998</v>
      </c>
      <c r="I543" s="32" t="s">
        <v>174</v>
      </c>
      <c r="J543" s="32">
        <v>2</v>
      </c>
      <c r="K543" s="32" t="s">
        <v>183</v>
      </c>
      <c r="L543" s="18">
        <f t="shared" si="8"/>
        <v>999999999</v>
      </c>
    </row>
    <row r="544" spans="1:12" ht="15" customHeight="1" x14ac:dyDescent="0.25">
      <c r="A544" s="32" t="s">
        <v>182</v>
      </c>
      <c r="B544" s="32" t="s">
        <v>62</v>
      </c>
      <c r="C544" s="32" t="s">
        <v>154</v>
      </c>
      <c r="D544" s="32">
        <v>70.010000000000005</v>
      </c>
      <c r="E544" s="32">
        <v>70.5</v>
      </c>
      <c r="F544" s="32" t="s">
        <v>173</v>
      </c>
      <c r="G544" s="32">
        <v>9.7276000000000007</v>
      </c>
      <c r="H544" s="32">
        <v>2.7275999999999998</v>
      </c>
      <c r="I544" s="32" t="s">
        <v>174</v>
      </c>
      <c r="J544" s="32">
        <v>2</v>
      </c>
      <c r="K544" s="32" t="s">
        <v>183</v>
      </c>
      <c r="L544" s="18">
        <f t="shared" si="8"/>
        <v>999999999</v>
      </c>
    </row>
    <row r="545" spans="1:12" ht="15" customHeight="1" x14ac:dyDescent="0.25">
      <c r="A545" s="32" t="s">
        <v>182</v>
      </c>
      <c r="B545" s="32" t="s">
        <v>62</v>
      </c>
      <c r="C545" s="32" t="s">
        <v>154</v>
      </c>
      <c r="D545" s="32">
        <v>70.510000000000005</v>
      </c>
      <c r="E545" s="32">
        <v>99.99</v>
      </c>
      <c r="F545" s="32" t="s">
        <v>173</v>
      </c>
      <c r="G545" s="32">
        <v>9.7416</v>
      </c>
      <c r="H545" s="32">
        <v>9.3600000000000003E-2</v>
      </c>
      <c r="I545" s="32" t="s">
        <v>174</v>
      </c>
      <c r="J545" s="32">
        <v>2</v>
      </c>
      <c r="K545" s="32" t="s">
        <v>183</v>
      </c>
      <c r="L545" s="18">
        <f t="shared" si="8"/>
        <v>999999999</v>
      </c>
    </row>
    <row r="546" spans="1:12" ht="15" customHeight="1" x14ac:dyDescent="0.25">
      <c r="A546" s="32" t="s">
        <v>182</v>
      </c>
      <c r="B546" s="32" t="s">
        <v>62</v>
      </c>
      <c r="C546" s="32" t="s">
        <v>154</v>
      </c>
      <c r="D546" s="32">
        <v>100</v>
      </c>
      <c r="E546" s="32">
        <v>299.99</v>
      </c>
      <c r="F546" s="32" t="s">
        <v>173</v>
      </c>
      <c r="G546" s="32">
        <v>13.3872</v>
      </c>
      <c r="H546" s="32">
        <v>9.0800000000000006E-2</v>
      </c>
      <c r="I546" s="32" t="s">
        <v>174</v>
      </c>
      <c r="J546" s="32">
        <v>2</v>
      </c>
      <c r="K546" s="32" t="s">
        <v>183</v>
      </c>
      <c r="L546" s="18">
        <f t="shared" si="8"/>
        <v>999999999</v>
      </c>
    </row>
    <row r="547" spans="1:12" ht="15" customHeight="1" x14ac:dyDescent="0.25">
      <c r="A547" s="32" t="s">
        <v>182</v>
      </c>
      <c r="B547" s="32" t="s">
        <v>62</v>
      </c>
      <c r="C547" s="32" t="s">
        <v>154</v>
      </c>
      <c r="D547" s="32">
        <v>300</v>
      </c>
      <c r="E547" s="32">
        <v>499.99</v>
      </c>
      <c r="F547" s="32" t="s">
        <v>173</v>
      </c>
      <c r="G547" s="32">
        <v>35.667200000000001</v>
      </c>
      <c r="H547" s="32">
        <v>8.5999999999999993E-2</v>
      </c>
      <c r="I547" s="32" t="s">
        <v>174</v>
      </c>
      <c r="J547" s="32">
        <v>2</v>
      </c>
      <c r="K547" s="32" t="s">
        <v>183</v>
      </c>
      <c r="L547" s="18">
        <f t="shared" si="8"/>
        <v>999999999</v>
      </c>
    </row>
    <row r="548" spans="1:12" ht="15" customHeight="1" x14ac:dyDescent="0.25">
      <c r="A548" s="32" t="s">
        <v>182</v>
      </c>
      <c r="B548" s="32" t="s">
        <v>62</v>
      </c>
      <c r="C548" s="32" t="s">
        <v>154</v>
      </c>
      <c r="D548" s="32">
        <v>500</v>
      </c>
      <c r="E548" s="32">
        <v>999.99</v>
      </c>
      <c r="F548" s="32" t="s">
        <v>173</v>
      </c>
      <c r="G548" s="32">
        <v>59.427199999999999</v>
      </c>
      <c r="H548" s="32">
        <v>8.5999999999999993E-2</v>
      </c>
      <c r="I548" s="32" t="s">
        <v>174</v>
      </c>
      <c r="J548" s="32">
        <v>2</v>
      </c>
      <c r="K548" s="32" t="s">
        <v>183</v>
      </c>
      <c r="L548" s="18">
        <f t="shared" si="8"/>
        <v>999999999</v>
      </c>
    </row>
    <row r="549" spans="1:12" ht="15" customHeight="1" x14ac:dyDescent="0.25">
      <c r="A549" s="32" t="s">
        <v>182</v>
      </c>
      <c r="B549" s="32" t="s">
        <v>62</v>
      </c>
      <c r="C549" s="32" t="s">
        <v>154</v>
      </c>
      <c r="D549" s="32">
        <v>1000</v>
      </c>
      <c r="E549" s="32">
        <v>9999.99</v>
      </c>
      <c r="F549" s="32" t="s">
        <v>173</v>
      </c>
      <c r="G549" s="32">
        <v>117.8272</v>
      </c>
      <c r="H549" s="32">
        <v>8.5999999999999993E-2</v>
      </c>
      <c r="I549" s="32" t="s">
        <v>174</v>
      </c>
      <c r="J549" s="32">
        <v>2</v>
      </c>
      <c r="K549" s="32" t="s">
        <v>183</v>
      </c>
      <c r="L549" s="18">
        <f t="shared" si="8"/>
        <v>999999999</v>
      </c>
    </row>
    <row r="550" spans="1:12" ht="15" customHeight="1" x14ac:dyDescent="0.25">
      <c r="A550" s="32" t="s">
        <v>186</v>
      </c>
      <c r="B550" s="32" t="s">
        <v>62</v>
      </c>
      <c r="C550" s="32" t="s">
        <v>154</v>
      </c>
      <c r="D550" s="32">
        <v>0</v>
      </c>
      <c r="E550" s="32">
        <v>0.5</v>
      </c>
      <c r="F550" s="32" t="s">
        <v>173</v>
      </c>
      <c r="G550" s="32">
        <v>1.4356</v>
      </c>
      <c r="H550" s="32">
        <v>0.43559999999999999</v>
      </c>
      <c r="I550" s="32" t="s">
        <v>174</v>
      </c>
      <c r="J550" s="32">
        <v>2</v>
      </c>
      <c r="K550" s="32" t="s">
        <v>183</v>
      </c>
      <c r="L550" s="18">
        <f t="shared" si="8"/>
        <v>999999999</v>
      </c>
    </row>
    <row r="551" spans="1:12" ht="15" customHeight="1" x14ac:dyDescent="0.25">
      <c r="A551" s="32" t="s">
        <v>186</v>
      </c>
      <c r="B551" s="32" t="s">
        <v>62</v>
      </c>
      <c r="C551" s="32" t="s">
        <v>154</v>
      </c>
      <c r="D551" s="32">
        <v>0.51</v>
      </c>
      <c r="E551" s="32">
        <v>1</v>
      </c>
      <c r="F551" s="32" t="s">
        <v>173</v>
      </c>
      <c r="G551" s="32">
        <v>1.4767999999999999</v>
      </c>
      <c r="H551" s="32">
        <v>0.4768</v>
      </c>
      <c r="I551" s="32" t="s">
        <v>174</v>
      </c>
      <c r="J551" s="32">
        <v>2</v>
      </c>
      <c r="K551" s="32" t="s">
        <v>183</v>
      </c>
      <c r="L551" s="18">
        <f t="shared" si="8"/>
        <v>999999999</v>
      </c>
    </row>
    <row r="552" spans="1:12" ht="15" customHeight="1" x14ac:dyDescent="0.25">
      <c r="A552" s="32" t="s">
        <v>186</v>
      </c>
      <c r="B552" s="32" t="s">
        <v>62</v>
      </c>
      <c r="C552" s="32" t="s">
        <v>154</v>
      </c>
      <c r="D552" s="32">
        <v>1.01</v>
      </c>
      <c r="E552" s="32">
        <v>1.5</v>
      </c>
      <c r="F552" s="32" t="s">
        <v>173</v>
      </c>
      <c r="G552" s="32">
        <v>1.5147999999999999</v>
      </c>
      <c r="H552" s="32">
        <v>0.51480000000000004</v>
      </c>
      <c r="I552" s="32" t="s">
        <v>174</v>
      </c>
      <c r="J552" s="32">
        <v>2</v>
      </c>
      <c r="K552" s="32" t="s">
        <v>183</v>
      </c>
      <c r="L552" s="18">
        <f t="shared" si="8"/>
        <v>999999999</v>
      </c>
    </row>
    <row r="553" spans="1:12" ht="15" customHeight="1" x14ac:dyDescent="0.25">
      <c r="A553" s="32" t="s">
        <v>186</v>
      </c>
      <c r="B553" s="32" t="s">
        <v>62</v>
      </c>
      <c r="C553" s="32" t="s">
        <v>154</v>
      </c>
      <c r="D553" s="32">
        <v>1.51</v>
      </c>
      <c r="E553" s="32">
        <v>2</v>
      </c>
      <c r="F553" s="32" t="s">
        <v>173</v>
      </c>
      <c r="G553" s="32">
        <v>1.5516000000000001</v>
      </c>
      <c r="H553" s="32">
        <v>0.55159999999999998</v>
      </c>
      <c r="I553" s="32" t="s">
        <v>174</v>
      </c>
      <c r="J553" s="32">
        <v>2</v>
      </c>
      <c r="K553" s="32" t="s">
        <v>183</v>
      </c>
      <c r="L553" s="18">
        <f t="shared" si="8"/>
        <v>999999999</v>
      </c>
    </row>
    <row r="554" spans="1:12" ht="15" customHeight="1" x14ac:dyDescent="0.25">
      <c r="A554" s="32" t="s">
        <v>186</v>
      </c>
      <c r="B554" s="32" t="s">
        <v>62</v>
      </c>
      <c r="C554" s="32" t="s">
        <v>154</v>
      </c>
      <c r="D554" s="32">
        <v>2.0099999999999998</v>
      </c>
      <c r="E554" s="32">
        <v>2.5</v>
      </c>
      <c r="F554" s="32" t="s">
        <v>173</v>
      </c>
      <c r="G554" s="32">
        <v>1.5860000000000001</v>
      </c>
      <c r="H554" s="32">
        <v>0.58599999999999997</v>
      </c>
      <c r="I554" s="32" t="s">
        <v>174</v>
      </c>
      <c r="J554" s="32">
        <v>2</v>
      </c>
      <c r="K554" s="32" t="s">
        <v>183</v>
      </c>
      <c r="L554" s="18">
        <f t="shared" si="8"/>
        <v>999999999</v>
      </c>
    </row>
    <row r="555" spans="1:12" ht="15" customHeight="1" x14ac:dyDescent="0.25">
      <c r="A555" s="32" t="s">
        <v>186</v>
      </c>
      <c r="B555" s="32" t="s">
        <v>62</v>
      </c>
      <c r="C555" s="32" t="s">
        <v>154</v>
      </c>
      <c r="D555" s="32">
        <v>2.5099999999999998</v>
      </c>
      <c r="E555" s="32">
        <v>3</v>
      </c>
      <c r="F555" s="32" t="s">
        <v>173</v>
      </c>
      <c r="G555" s="32">
        <v>1.6204000000000001</v>
      </c>
      <c r="H555" s="32">
        <v>0.62039999999999995</v>
      </c>
      <c r="I555" s="32" t="s">
        <v>174</v>
      </c>
      <c r="J555" s="32">
        <v>2</v>
      </c>
      <c r="K555" s="32" t="s">
        <v>183</v>
      </c>
      <c r="L555" s="18">
        <f t="shared" si="8"/>
        <v>999999999</v>
      </c>
    </row>
    <row r="556" spans="1:12" ht="15" customHeight="1" x14ac:dyDescent="0.25">
      <c r="A556" s="32" t="s">
        <v>186</v>
      </c>
      <c r="B556" s="32" t="s">
        <v>62</v>
      </c>
      <c r="C556" s="32" t="s">
        <v>154</v>
      </c>
      <c r="D556" s="32">
        <v>3.01</v>
      </c>
      <c r="E556" s="32">
        <v>3.5</v>
      </c>
      <c r="F556" s="32" t="s">
        <v>173</v>
      </c>
      <c r="G556" s="32">
        <v>1.6539999999999999</v>
      </c>
      <c r="H556" s="32">
        <v>0.65400000000000003</v>
      </c>
      <c r="I556" s="32" t="s">
        <v>174</v>
      </c>
      <c r="J556" s="32">
        <v>2</v>
      </c>
      <c r="K556" s="32" t="s">
        <v>183</v>
      </c>
      <c r="L556" s="18">
        <f t="shared" si="8"/>
        <v>999999999</v>
      </c>
    </row>
    <row r="557" spans="1:12" ht="15" customHeight="1" x14ac:dyDescent="0.25">
      <c r="A557" s="32" t="s">
        <v>186</v>
      </c>
      <c r="B557" s="32" t="s">
        <v>62</v>
      </c>
      <c r="C557" s="32" t="s">
        <v>154</v>
      </c>
      <c r="D557" s="32">
        <v>3.51</v>
      </c>
      <c r="E557" s="32">
        <v>4</v>
      </c>
      <c r="F557" s="32" t="s">
        <v>173</v>
      </c>
      <c r="G557" s="32">
        <v>1.6883999999999999</v>
      </c>
      <c r="H557" s="32">
        <v>0.68840000000000001</v>
      </c>
      <c r="I557" s="32" t="s">
        <v>174</v>
      </c>
      <c r="J557" s="32">
        <v>2</v>
      </c>
      <c r="K557" s="32" t="s">
        <v>183</v>
      </c>
      <c r="L557" s="18">
        <f t="shared" si="8"/>
        <v>999999999</v>
      </c>
    </row>
    <row r="558" spans="1:12" ht="15" customHeight="1" x14ac:dyDescent="0.25">
      <c r="A558" s="32" t="s">
        <v>186</v>
      </c>
      <c r="B558" s="32" t="s">
        <v>62</v>
      </c>
      <c r="C558" s="32" t="s">
        <v>154</v>
      </c>
      <c r="D558" s="32">
        <v>4.01</v>
      </c>
      <c r="E558" s="32">
        <v>4.5</v>
      </c>
      <c r="F558" s="32" t="s">
        <v>173</v>
      </c>
      <c r="G558" s="32">
        <v>1.7228000000000001</v>
      </c>
      <c r="H558" s="32">
        <v>0.7228</v>
      </c>
      <c r="I558" s="32" t="s">
        <v>174</v>
      </c>
      <c r="J558" s="32">
        <v>2</v>
      </c>
      <c r="K558" s="32" t="s">
        <v>183</v>
      </c>
      <c r="L558" s="18">
        <f t="shared" si="8"/>
        <v>999999999</v>
      </c>
    </row>
    <row r="559" spans="1:12" ht="15" customHeight="1" x14ac:dyDescent="0.25">
      <c r="A559" s="32" t="s">
        <v>186</v>
      </c>
      <c r="B559" s="32" t="s">
        <v>62</v>
      </c>
      <c r="C559" s="32" t="s">
        <v>154</v>
      </c>
      <c r="D559" s="32">
        <v>4.51</v>
      </c>
      <c r="E559" s="32">
        <v>5</v>
      </c>
      <c r="F559" s="32" t="s">
        <v>173</v>
      </c>
      <c r="G559" s="32">
        <v>1.7567999999999999</v>
      </c>
      <c r="H559" s="32">
        <v>0.75680000000000003</v>
      </c>
      <c r="I559" s="32" t="s">
        <v>174</v>
      </c>
      <c r="J559" s="32">
        <v>2</v>
      </c>
      <c r="K559" s="32" t="s">
        <v>183</v>
      </c>
      <c r="L559" s="18">
        <f t="shared" si="8"/>
        <v>999999999</v>
      </c>
    </row>
    <row r="560" spans="1:12" ht="15" customHeight="1" x14ac:dyDescent="0.25">
      <c r="A560" s="32" t="s">
        <v>186</v>
      </c>
      <c r="B560" s="32" t="s">
        <v>62</v>
      </c>
      <c r="C560" s="32" t="s">
        <v>154</v>
      </c>
      <c r="D560" s="32">
        <v>5.01</v>
      </c>
      <c r="E560" s="32">
        <v>5.5</v>
      </c>
      <c r="F560" s="32" t="s">
        <v>173</v>
      </c>
      <c r="G560" s="32">
        <v>1.7871999999999999</v>
      </c>
      <c r="H560" s="32">
        <v>0.78720000000000001</v>
      </c>
      <c r="I560" s="32" t="s">
        <v>174</v>
      </c>
      <c r="J560" s="32">
        <v>2</v>
      </c>
      <c r="K560" s="32" t="s">
        <v>183</v>
      </c>
      <c r="L560" s="18">
        <f t="shared" si="8"/>
        <v>999999999</v>
      </c>
    </row>
    <row r="561" spans="1:12" ht="15" customHeight="1" x14ac:dyDescent="0.25">
      <c r="A561" s="32" t="s">
        <v>186</v>
      </c>
      <c r="B561" s="32" t="s">
        <v>62</v>
      </c>
      <c r="C561" s="32" t="s">
        <v>154</v>
      </c>
      <c r="D561" s="32">
        <v>5.51</v>
      </c>
      <c r="E561" s="32">
        <v>6</v>
      </c>
      <c r="F561" s="32" t="s">
        <v>173</v>
      </c>
      <c r="G561" s="32">
        <v>1.8176000000000001</v>
      </c>
      <c r="H561" s="32">
        <v>0.81759999999999999</v>
      </c>
      <c r="I561" s="32" t="s">
        <v>174</v>
      </c>
      <c r="J561" s="32">
        <v>2</v>
      </c>
      <c r="K561" s="32" t="s">
        <v>183</v>
      </c>
      <c r="L561" s="18">
        <f t="shared" si="8"/>
        <v>999999999</v>
      </c>
    </row>
    <row r="562" spans="1:12" ht="15" customHeight="1" x14ac:dyDescent="0.25">
      <c r="A562" s="32" t="s">
        <v>186</v>
      </c>
      <c r="B562" s="32" t="s">
        <v>62</v>
      </c>
      <c r="C562" s="32" t="s">
        <v>154</v>
      </c>
      <c r="D562" s="32">
        <v>6.01</v>
      </c>
      <c r="E562" s="32">
        <v>6.5</v>
      </c>
      <c r="F562" s="32" t="s">
        <v>173</v>
      </c>
      <c r="G562" s="32">
        <v>1.8480000000000001</v>
      </c>
      <c r="H562" s="32">
        <v>0.84799999999999998</v>
      </c>
      <c r="I562" s="32" t="s">
        <v>174</v>
      </c>
      <c r="J562" s="32">
        <v>2</v>
      </c>
      <c r="K562" s="32" t="s">
        <v>183</v>
      </c>
      <c r="L562" s="18">
        <f t="shared" si="8"/>
        <v>999999999</v>
      </c>
    </row>
    <row r="563" spans="1:12" ht="15" customHeight="1" x14ac:dyDescent="0.25">
      <c r="A563" s="32" t="s">
        <v>186</v>
      </c>
      <c r="B563" s="32" t="s">
        <v>62</v>
      </c>
      <c r="C563" s="32" t="s">
        <v>154</v>
      </c>
      <c r="D563" s="32">
        <v>6.51</v>
      </c>
      <c r="E563" s="32">
        <v>7</v>
      </c>
      <c r="F563" s="32" t="s">
        <v>173</v>
      </c>
      <c r="G563" s="32">
        <v>1.8784000000000001</v>
      </c>
      <c r="H563" s="32">
        <v>0.87839999999999996</v>
      </c>
      <c r="I563" s="32" t="s">
        <v>174</v>
      </c>
      <c r="J563" s="32">
        <v>2</v>
      </c>
      <c r="K563" s="32" t="s">
        <v>183</v>
      </c>
      <c r="L563" s="18">
        <f t="shared" si="8"/>
        <v>999999999</v>
      </c>
    </row>
    <row r="564" spans="1:12" ht="15" customHeight="1" x14ac:dyDescent="0.25">
      <c r="A564" s="32" t="s">
        <v>186</v>
      </c>
      <c r="B564" s="32" t="s">
        <v>62</v>
      </c>
      <c r="C564" s="32" t="s">
        <v>154</v>
      </c>
      <c r="D564" s="32">
        <v>7.01</v>
      </c>
      <c r="E564" s="32">
        <v>7.5</v>
      </c>
      <c r="F564" s="32" t="s">
        <v>173</v>
      </c>
      <c r="G564" s="32">
        <v>1.9088000000000001</v>
      </c>
      <c r="H564" s="32">
        <v>0.90880000000000005</v>
      </c>
      <c r="I564" s="32" t="s">
        <v>174</v>
      </c>
      <c r="J564" s="32">
        <v>2</v>
      </c>
      <c r="K564" s="32" t="s">
        <v>183</v>
      </c>
      <c r="L564" s="18">
        <f t="shared" si="8"/>
        <v>999999999</v>
      </c>
    </row>
    <row r="565" spans="1:12" ht="15" customHeight="1" x14ac:dyDescent="0.25">
      <c r="A565" s="32" t="s">
        <v>186</v>
      </c>
      <c r="B565" s="32" t="s">
        <v>62</v>
      </c>
      <c r="C565" s="32" t="s">
        <v>154</v>
      </c>
      <c r="D565" s="32">
        <v>7.51</v>
      </c>
      <c r="E565" s="32">
        <v>8</v>
      </c>
      <c r="F565" s="32" t="s">
        <v>173</v>
      </c>
      <c r="G565" s="32">
        <v>1.9392</v>
      </c>
      <c r="H565" s="32">
        <v>0.93920000000000003</v>
      </c>
      <c r="I565" s="32" t="s">
        <v>174</v>
      </c>
      <c r="J565" s="32">
        <v>2</v>
      </c>
      <c r="K565" s="32" t="s">
        <v>183</v>
      </c>
      <c r="L565" s="18">
        <f t="shared" si="8"/>
        <v>999999999</v>
      </c>
    </row>
    <row r="566" spans="1:12" ht="15" customHeight="1" x14ac:dyDescent="0.25">
      <c r="A566" s="32" t="s">
        <v>186</v>
      </c>
      <c r="B566" s="32" t="s">
        <v>62</v>
      </c>
      <c r="C566" s="32" t="s">
        <v>154</v>
      </c>
      <c r="D566" s="32">
        <v>8.01</v>
      </c>
      <c r="E566" s="32">
        <v>8.5</v>
      </c>
      <c r="F566" s="32" t="s">
        <v>173</v>
      </c>
      <c r="G566" s="32">
        <v>1.9696</v>
      </c>
      <c r="H566" s="32">
        <v>0.96960000000000002</v>
      </c>
      <c r="I566" s="32" t="s">
        <v>174</v>
      </c>
      <c r="J566" s="32">
        <v>2</v>
      </c>
      <c r="K566" s="32" t="s">
        <v>183</v>
      </c>
      <c r="L566" s="18">
        <f t="shared" si="8"/>
        <v>999999999</v>
      </c>
    </row>
    <row r="567" spans="1:12" ht="15" customHeight="1" x14ac:dyDescent="0.25">
      <c r="A567" s="32" t="s">
        <v>186</v>
      </c>
      <c r="B567" s="32" t="s">
        <v>62</v>
      </c>
      <c r="C567" s="32" t="s">
        <v>154</v>
      </c>
      <c r="D567" s="32">
        <v>8.51</v>
      </c>
      <c r="E567" s="32">
        <v>9</v>
      </c>
      <c r="F567" s="32" t="s">
        <v>173</v>
      </c>
      <c r="G567" s="32">
        <v>2</v>
      </c>
      <c r="H567" s="32">
        <v>1</v>
      </c>
      <c r="I567" s="32" t="s">
        <v>174</v>
      </c>
      <c r="J567" s="32">
        <v>2</v>
      </c>
      <c r="K567" s="32" t="s">
        <v>183</v>
      </c>
      <c r="L567" s="18">
        <f t="shared" si="8"/>
        <v>999999999</v>
      </c>
    </row>
    <row r="568" spans="1:12" ht="15" customHeight="1" x14ac:dyDescent="0.25">
      <c r="A568" s="32" t="s">
        <v>186</v>
      </c>
      <c r="B568" s="32" t="s">
        <v>62</v>
      </c>
      <c r="C568" s="32" t="s">
        <v>154</v>
      </c>
      <c r="D568" s="32">
        <v>9.01</v>
      </c>
      <c r="E568" s="32">
        <v>9.5</v>
      </c>
      <c r="F568" s="32" t="s">
        <v>173</v>
      </c>
      <c r="G568" s="32">
        <v>3.0304000000000002</v>
      </c>
      <c r="H568" s="32">
        <v>1.0304</v>
      </c>
      <c r="I568" s="32" t="s">
        <v>174</v>
      </c>
      <c r="J568" s="32">
        <v>2</v>
      </c>
      <c r="K568" s="32" t="s">
        <v>183</v>
      </c>
      <c r="L568" s="18">
        <f t="shared" si="8"/>
        <v>999999999</v>
      </c>
    </row>
    <row r="569" spans="1:12" ht="15" customHeight="1" x14ac:dyDescent="0.25">
      <c r="A569" s="32" t="s">
        <v>186</v>
      </c>
      <c r="B569" s="32" t="s">
        <v>62</v>
      </c>
      <c r="C569" s="32" t="s">
        <v>154</v>
      </c>
      <c r="D569" s="32">
        <v>9.51</v>
      </c>
      <c r="E569" s="32">
        <v>10</v>
      </c>
      <c r="F569" s="32" t="s">
        <v>173</v>
      </c>
      <c r="G569" s="32">
        <v>3.0608</v>
      </c>
      <c r="H569" s="32">
        <v>1.0608</v>
      </c>
      <c r="I569" s="32" t="s">
        <v>174</v>
      </c>
      <c r="J569" s="32">
        <v>2</v>
      </c>
      <c r="K569" s="32" t="s">
        <v>183</v>
      </c>
      <c r="L569" s="18">
        <f t="shared" si="8"/>
        <v>999999999</v>
      </c>
    </row>
    <row r="570" spans="1:12" ht="15" customHeight="1" x14ac:dyDescent="0.25">
      <c r="A570" s="32" t="s">
        <v>186</v>
      </c>
      <c r="B570" s="32" t="s">
        <v>62</v>
      </c>
      <c r="C570" s="32" t="s">
        <v>154</v>
      </c>
      <c r="D570" s="32">
        <v>10.01</v>
      </c>
      <c r="E570" s="32">
        <v>10.5</v>
      </c>
      <c r="F570" s="32" t="s">
        <v>173</v>
      </c>
      <c r="G570" s="32">
        <v>3.0903999999999998</v>
      </c>
      <c r="H570" s="32">
        <v>1.0904</v>
      </c>
      <c r="I570" s="32" t="s">
        <v>174</v>
      </c>
      <c r="J570" s="32">
        <v>2</v>
      </c>
      <c r="K570" s="32" t="s">
        <v>183</v>
      </c>
      <c r="L570" s="18">
        <f t="shared" si="8"/>
        <v>999999999</v>
      </c>
    </row>
    <row r="571" spans="1:12" ht="15" customHeight="1" x14ac:dyDescent="0.25">
      <c r="A571" s="32" t="s">
        <v>186</v>
      </c>
      <c r="B571" s="32" t="s">
        <v>62</v>
      </c>
      <c r="C571" s="32" t="s">
        <v>154</v>
      </c>
      <c r="D571" s="32">
        <v>10.51</v>
      </c>
      <c r="E571" s="32">
        <v>11</v>
      </c>
      <c r="F571" s="32" t="s">
        <v>173</v>
      </c>
      <c r="G571" s="32">
        <v>3.12</v>
      </c>
      <c r="H571" s="32">
        <v>1.1200000000000001</v>
      </c>
      <c r="I571" s="32" t="s">
        <v>174</v>
      </c>
      <c r="J571" s="32">
        <v>2</v>
      </c>
      <c r="K571" s="32" t="s">
        <v>183</v>
      </c>
      <c r="L571" s="18">
        <f t="shared" si="8"/>
        <v>999999999</v>
      </c>
    </row>
    <row r="572" spans="1:12" ht="15" customHeight="1" x14ac:dyDescent="0.25">
      <c r="A572" s="32" t="s">
        <v>186</v>
      </c>
      <c r="B572" s="32" t="s">
        <v>62</v>
      </c>
      <c r="C572" s="32" t="s">
        <v>154</v>
      </c>
      <c r="D572" s="32">
        <v>11.01</v>
      </c>
      <c r="E572" s="32">
        <v>11.5</v>
      </c>
      <c r="F572" s="32" t="s">
        <v>173</v>
      </c>
      <c r="G572" s="32">
        <v>3.1496</v>
      </c>
      <c r="H572" s="32">
        <v>1.1496</v>
      </c>
      <c r="I572" s="32" t="s">
        <v>174</v>
      </c>
      <c r="J572" s="32">
        <v>2</v>
      </c>
      <c r="K572" s="32" t="s">
        <v>183</v>
      </c>
      <c r="L572" s="18">
        <f t="shared" si="8"/>
        <v>999999999</v>
      </c>
    </row>
    <row r="573" spans="1:12" ht="15" customHeight="1" x14ac:dyDescent="0.25">
      <c r="A573" s="32" t="s">
        <v>186</v>
      </c>
      <c r="B573" s="32" t="s">
        <v>62</v>
      </c>
      <c r="C573" s="32" t="s">
        <v>154</v>
      </c>
      <c r="D573" s="32">
        <v>11.51</v>
      </c>
      <c r="E573" s="32">
        <v>12</v>
      </c>
      <c r="F573" s="32" t="s">
        <v>173</v>
      </c>
      <c r="G573" s="32">
        <v>3.1791999999999998</v>
      </c>
      <c r="H573" s="32">
        <v>1.1792</v>
      </c>
      <c r="I573" s="32" t="s">
        <v>174</v>
      </c>
      <c r="J573" s="32">
        <v>2</v>
      </c>
      <c r="K573" s="32" t="s">
        <v>183</v>
      </c>
      <c r="L573" s="18">
        <f t="shared" si="8"/>
        <v>999999999</v>
      </c>
    </row>
    <row r="574" spans="1:12" ht="15" customHeight="1" x14ac:dyDescent="0.25">
      <c r="A574" s="32" t="s">
        <v>186</v>
      </c>
      <c r="B574" s="32" t="s">
        <v>62</v>
      </c>
      <c r="C574" s="32" t="s">
        <v>154</v>
      </c>
      <c r="D574" s="32">
        <v>12.01</v>
      </c>
      <c r="E574" s="32">
        <v>12.5</v>
      </c>
      <c r="F574" s="32" t="s">
        <v>173</v>
      </c>
      <c r="G574" s="32">
        <v>3.2088000000000001</v>
      </c>
      <c r="H574" s="32">
        <v>1.2088000000000001</v>
      </c>
      <c r="I574" s="32" t="s">
        <v>174</v>
      </c>
      <c r="J574" s="32">
        <v>2</v>
      </c>
      <c r="K574" s="32" t="s">
        <v>183</v>
      </c>
      <c r="L574" s="18">
        <f t="shared" si="8"/>
        <v>999999999</v>
      </c>
    </row>
    <row r="575" spans="1:12" ht="15" customHeight="1" x14ac:dyDescent="0.25">
      <c r="A575" s="32" t="s">
        <v>186</v>
      </c>
      <c r="B575" s="32" t="s">
        <v>62</v>
      </c>
      <c r="C575" s="32" t="s">
        <v>154</v>
      </c>
      <c r="D575" s="32">
        <v>12.51</v>
      </c>
      <c r="E575" s="32">
        <v>13</v>
      </c>
      <c r="F575" s="32" t="s">
        <v>173</v>
      </c>
      <c r="G575" s="32">
        <v>3.2383999999999999</v>
      </c>
      <c r="H575" s="32">
        <v>1.2383999999999999</v>
      </c>
      <c r="I575" s="32" t="s">
        <v>174</v>
      </c>
      <c r="J575" s="32">
        <v>2</v>
      </c>
      <c r="K575" s="32" t="s">
        <v>183</v>
      </c>
      <c r="L575" s="18">
        <f t="shared" si="8"/>
        <v>999999999</v>
      </c>
    </row>
    <row r="576" spans="1:12" ht="15" customHeight="1" x14ac:dyDescent="0.25">
      <c r="A576" s="32" t="s">
        <v>186</v>
      </c>
      <c r="B576" s="32" t="s">
        <v>62</v>
      </c>
      <c r="C576" s="32" t="s">
        <v>154</v>
      </c>
      <c r="D576" s="32">
        <v>13.01</v>
      </c>
      <c r="E576" s="32">
        <v>13.5</v>
      </c>
      <c r="F576" s="32" t="s">
        <v>173</v>
      </c>
      <c r="G576" s="32">
        <v>3.2679999999999998</v>
      </c>
      <c r="H576" s="32">
        <v>1.268</v>
      </c>
      <c r="I576" s="32" t="s">
        <v>174</v>
      </c>
      <c r="J576" s="32">
        <v>2</v>
      </c>
      <c r="K576" s="32" t="s">
        <v>183</v>
      </c>
      <c r="L576" s="18">
        <f t="shared" si="8"/>
        <v>999999999</v>
      </c>
    </row>
    <row r="577" spans="1:12" ht="15" customHeight="1" x14ac:dyDescent="0.25">
      <c r="A577" s="32" t="s">
        <v>186</v>
      </c>
      <c r="B577" s="32" t="s">
        <v>62</v>
      </c>
      <c r="C577" s="32" t="s">
        <v>154</v>
      </c>
      <c r="D577" s="32">
        <v>13.51</v>
      </c>
      <c r="E577" s="32">
        <v>14</v>
      </c>
      <c r="F577" s="32" t="s">
        <v>173</v>
      </c>
      <c r="G577" s="32">
        <v>3.2976000000000001</v>
      </c>
      <c r="H577" s="32">
        <v>1.2976000000000001</v>
      </c>
      <c r="I577" s="32" t="s">
        <v>174</v>
      </c>
      <c r="J577" s="32">
        <v>2</v>
      </c>
      <c r="K577" s="32" t="s">
        <v>183</v>
      </c>
      <c r="L577" s="18">
        <f t="shared" si="8"/>
        <v>999999999</v>
      </c>
    </row>
    <row r="578" spans="1:12" ht="15" customHeight="1" x14ac:dyDescent="0.25">
      <c r="A578" s="32" t="s">
        <v>186</v>
      </c>
      <c r="B578" s="32" t="s">
        <v>62</v>
      </c>
      <c r="C578" s="32" t="s">
        <v>154</v>
      </c>
      <c r="D578" s="32">
        <v>14.01</v>
      </c>
      <c r="E578" s="32">
        <v>14.5</v>
      </c>
      <c r="F578" s="32" t="s">
        <v>173</v>
      </c>
      <c r="G578" s="32">
        <v>3.3271999999999999</v>
      </c>
      <c r="H578" s="32">
        <v>1.3271999999999999</v>
      </c>
      <c r="I578" s="32" t="s">
        <v>174</v>
      </c>
      <c r="J578" s="32">
        <v>2</v>
      </c>
      <c r="K578" s="32" t="s">
        <v>183</v>
      </c>
      <c r="L578" s="18">
        <f t="shared" ref="L578:L641" si="9">IF(AND(B578=Quote_Port,D578&lt;=Quote_Weight,Quote_Weight&lt;=E578,OR(Quote_2Day="No",J578&lt;=2)),MAX(G578,Quote_Weight*H578)*Quote_USDINR,999999999)</f>
        <v>999999999</v>
      </c>
    </row>
    <row r="579" spans="1:12" ht="15" customHeight="1" x14ac:dyDescent="0.25">
      <c r="A579" s="32" t="s">
        <v>186</v>
      </c>
      <c r="B579" s="32" t="s">
        <v>62</v>
      </c>
      <c r="C579" s="32" t="s">
        <v>154</v>
      </c>
      <c r="D579" s="32">
        <v>14.51</v>
      </c>
      <c r="E579" s="32">
        <v>15</v>
      </c>
      <c r="F579" s="32" t="s">
        <v>173</v>
      </c>
      <c r="G579" s="32">
        <v>3.3567999999999998</v>
      </c>
      <c r="H579" s="32">
        <v>1.3568</v>
      </c>
      <c r="I579" s="32" t="s">
        <v>174</v>
      </c>
      <c r="J579" s="32">
        <v>2</v>
      </c>
      <c r="K579" s="32" t="s">
        <v>183</v>
      </c>
      <c r="L579" s="18">
        <f t="shared" si="9"/>
        <v>999999999</v>
      </c>
    </row>
    <row r="580" spans="1:12" ht="15" customHeight="1" x14ac:dyDescent="0.25">
      <c r="A580" s="32" t="s">
        <v>186</v>
      </c>
      <c r="B580" s="32" t="s">
        <v>62</v>
      </c>
      <c r="C580" s="32" t="s">
        <v>154</v>
      </c>
      <c r="D580" s="32">
        <v>15.01</v>
      </c>
      <c r="E580" s="32">
        <v>15.5</v>
      </c>
      <c r="F580" s="32" t="s">
        <v>173</v>
      </c>
      <c r="G580" s="32">
        <v>3.3868</v>
      </c>
      <c r="H580" s="32">
        <v>1.3868</v>
      </c>
      <c r="I580" s="32" t="s">
        <v>174</v>
      </c>
      <c r="J580" s="32">
        <v>2</v>
      </c>
      <c r="K580" s="32" t="s">
        <v>183</v>
      </c>
      <c r="L580" s="18">
        <f t="shared" si="9"/>
        <v>999999999</v>
      </c>
    </row>
    <row r="581" spans="1:12" ht="15" customHeight="1" x14ac:dyDescent="0.25">
      <c r="A581" s="32" t="s">
        <v>186</v>
      </c>
      <c r="B581" s="32" t="s">
        <v>62</v>
      </c>
      <c r="C581" s="32" t="s">
        <v>154</v>
      </c>
      <c r="D581" s="32">
        <v>15.51</v>
      </c>
      <c r="E581" s="32">
        <v>16</v>
      </c>
      <c r="F581" s="32" t="s">
        <v>173</v>
      </c>
      <c r="G581" s="32">
        <v>3.4167999999999998</v>
      </c>
      <c r="H581" s="32">
        <v>1.4168000000000001</v>
      </c>
      <c r="I581" s="32" t="s">
        <v>174</v>
      </c>
      <c r="J581" s="32">
        <v>2</v>
      </c>
      <c r="K581" s="32" t="s">
        <v>183</v>
      </c>
      <c r="L581" s="18">
        <f t="shared" si="9"/>
        <v>999999999</v>
      </c>
    </row>
    <row r="582" spans="1:12" ht="15" customHeight="1" x14ac:dyDescent="0.25">
      <c r="A582" s="32" t="s">
        <v>186</v>
      </c>
      <c r="B582" s="32" t="s">
        <v>62</v>
      </c>
      <c r="C582" s="32" t="s">
        <v>154</v>
      </c>
      <c r="D582" s="32">
        <v>16.010000000000002</v>
      </c>
      <c r="E582" s="32">
        <v>16.5</v>
      </c>
      <c r="F582" s="32" t="s">
        <v>173</v>
      </c>
      <c r="G582" s="32">
        <v>3.4468000000000001</v>
      </c>
      <c r="H582" s="32">
        <v>1.4468000000000001</v>
      </c>
      <c r="I582" s="32" t="s">
        <v>174</v>
      </c>
      <c r="J582" s="32">
        <v>2</v>
      </c>
      <c r="K582" s="32" t="s">
        <v>183</v>
      </c>
      <c r="L582" s="18">
        <f t="shared" si="9"/>
        <v>999999999</v>
      </c>
    </row>
    <row r="583" spans="1:12" ht="15" customHeight="1" x14ac:dyDescent="0.25">
      <c r="A583" s="32" t="s">
        <v>186</v>
      </c>
      <c r="B583" s="32" t="s">
        <v>62</v>
      </c>
      <c r="C583" s="32" t="s">
        <v>154</v>
      </c>
      <c r="D583" s="32">
        <v>16.510000000000002</v>
      </c>
      <c r="E583" s="32">
        <v>17</v>
      </c>
      <c r="F583" s="32" t="s">
        <v>173</v>
      </c>
      <c r="G583" s="32">
        <v>3.4767999999999999</v>
      </c>
      <c r="H583" s="32">
        <v>1.4767999999999999</v>
      </c>
      <c r="I583" s="32" t="s">
        <v>174</v>
      </c>
      <c r="J583" s="32">
        <v>2</v>
      </c>
      <c r="K583" s="32" t="s">
        <v>183</v>
      </c>
      <c r="L583" s="18">
        <f t="shared" si="9"/>
        <v>999999999</v>
      </c>
    </row>
    <row r="584" spans="1:12" ht="15" customHeight="1" x14ac:dyDescent="0.25">
      <c r="A584" s="32" t="s">
        <v>186</v>
      </c>
      <c r="B584" s="32" t="s">
        <v>62</v>
      </c>
      <c r="C584" s="32" t="s">
        <v>154</v>
      </c>
      <c r="D584" s="32">
        <v>17.010000000000002</v>
      </c>
      <c r="E584" s="32">
        <v>17.5</v>
      </c>
      <c r="F584" s="32" t="s">
        <v>173</v>
      </c>
      <c r="G584" s="32">
        <v>3.5068000000000001</v>
      </c>
      <c r="H584" s="32">
        <v>1.5067999999999999</v>
      </c>
      <c r="I584" s="32" t="s">
        <v>174</v>
      </c>
      <c r="J584" s="32">
        <v>2</v>
      </c>
      <c r="K584" s="32" t="s">
        <v>183</v>
      </c>
      <c r="L584" s="18">
        <f t="shared" si="9"/>
        <v>999999999</v>
      </c>
    </row>
    <row r="585" spans="1:12" ht="15" customHeight="1" x14ac:dyDescent="0.25">
      <c r="A585" s="32" t="s">
        <v>186</v>
      </c>
      <c r="B585" s="32" t="s">
        <v>62</v>
      </c>
      <c r="C585" s="32" t="s">
        <v>154</v>
      </c>
      <c r="D585" s="32">
        <v>17.510000000000002</v>
      </c>
      <c r="E585" s="32">
        <v>18</v>
      </c>
      <c r="F585" s="32" t="s">
        <v>173</v>
      </c>
      <c r="G585" s="32">
        <v>3.5367999999999999</v>
      </c>
      <c r="H585" s="32">
        <v>1.5367999999999999</v>
      </c>
      <c r="I585" s="32" t="s">
        <v>174</v>
      </c>
      <c r="J585" s="32">
        <v>2</v>
      </c>
      <c r="K585" s="32" t="s">
        <v>183</v>
      </c>
      <c r="L585" s="18">
        <f t="shared" si="9"/>
        <v>999999999</v>
      </c>
    </row>
    <row r="586" spans="1:12" ht="15" customHeight="1" x14ac:dyDescent="0.25">
      <c r="A586" s="32" t="s">
        <v>186</v>
      </c>
      <c r="B586" s="32" t="s">
        <v>62</v>
      </c>
      <c r="C586" s="32" t="s">
        <v>154</v>
      </c>
      <c r="D586" s="32">
        <v>18.010000000000002</v>
      </c>
      <c r="E586" s="32">
        <v>18.5</v>
      </c>
      <c r="F586" s="32" t="s">
        <v>173</v>
      </c>
      <c r="G586" s="32">
        <v>3.5668000000000002</v>
      </c>
      <c r="H586" s="32">
        <v>1.5668</v>
      </c>
      <c r="I586" s="32" t="s">
        <v>174</v>
      </c>
      <c r="J586" s="32">
        <v>2</v>
      </c>
      <c r="K586" s="32" t="s">
        <v>183</v>
      </c>
      <c r="L586" s="18">
        <f t="shared" si="9"/>
        <v>999999999</v>
      </c>
    </row>
    <row r="587" spans="1:12" ht="15" customHeight="1" x14ac:dyDescent="0.25">
      <c r="A587" s="32" t="s">
        <v>186</v>
      </c>
      <c r="B587" s="32" t="s">
        <v>62</v>
      </c>
      <c r="C587" s="32" t="s">
        <v>154</v>
      </c>
      <c r="D587" s="32">
        <v>18.510000000000002</v>
      </c>
      <c r="E587" s="32">
        <v>19</v>
      </c>
      <c r="F587" s="32" t="s">
        <v>173</v>
      </c>
      <c r="G587" s="32">
        <v>3.5968</v>
      </c>
      <c r="H587" s="32">
        <v>1.5968</v>
      </c>
      <c r="I587" s="32" t="s">
        <v>174</v>
      </c>
      <c r="J587" s="32">
        <v>2</v>
      </c>
      <c r="K587" s="32" t="s">
        <v>183</v>
      </c>
      <c r="L587" s="18">
        <f t="shared" si="9"/>
        <v>999999999</v>
      </c>
    </row>
    <row r="588" spans="1:12" ht="15" customHeight="1" x14ac:dyDescent="0.25">
      <c r="A588" s="32" t="s">
        <v>186</v>
      </c>
      <c r="B588" s="32" t="s">
        <v>62</v>
      </c>
      <c r="C588" s="32" t="s">
        <v>154</v>
      </c>
      <c r="D588" s="32">
        <v>19.010000000000002</v>
      </c>
      <c r="E588" s="32">
        <v>19.5</v>
      </c>
      <c r="F588" s="32" t="s">
        <v>173</v>
      </c>
      <c r="G588" s="32">
        <v>3.6267999999999998</v>
      </c>
      <c r="H588" s="32">
        <v>1.6268</v>
      </c>
      <c r="I588" s="32" t="s">
        <v>174</v>
      </c>
      <c r="J588" s="32">
        <v>2</v>
      </c>
      <c r="K588" s="32" t="s">
        <v>183</v>
      </c>
      <c r="L588" s="18">
        <f t="shared" si="9"/>
        <v>999999999</v>
      </c>
    </row>
    <row r="589" spans="1:12" ht="15" customHeight="1" x14ac:dyDescent="0.25">
      <c r="A589" s="32" t="s">
        <v>186</v>
      </c>
      <c r="B589" s="32" t="s">
        <v>62</v>
      </c>
      <c r="C589" s="32" t="s">
        <v>154</v>
      </c>
      <c r="D589" s="32">
        <v>19.510000000000002</v>
      </c>
      <c r="E589" s="32">
        <v>20</v>
      </c>
      <c r="F589" s="32" t="s">
        <v>173</v>
      </c>
      <c r="G589" s="32">
        <v>3.6568000000000001</v>
      </c>
      <c r="H589" s="32">
        <v>1.6568000000000001</v>
      </c>
      <c r="I589" s="32" t="s">
        <v>174</v>
      </c>
      <c r="J589" s="32">
        <v>2</v>
      </c>
      <c r="K589" s="32" t="s">
        <v>183</v>
      </c>
      <c r="L589" s="18">
        <f t="shared" si="9"/>
        <v>999999999</v>
      </c>
    </row>
    <row r="590" spans="1:12" ht="15" customHeight="1" x14ac:dyDescent="0.25">
      <c r="A590" s="32" t="s">
        <v>186</v>
      </c>
      <c r="B590" s="32" t="s">
        <v>62</v>
      </c>
      <c r="C590" s="32" t="s">
        <v>154</v>
      </c>
      <c r="D590" s="32">
        <v>20.010000000000002</v>
      </c>
      <c r="E590" s="32">
        <v>20.5</v>
      </c>
      <c r="F590" s="32" t="s">
        <v>173</v>
      </c>
      <c r="G590" s="32">
        <v>3.6867999999999999</v>
      </c>
      <c r="H590" s="32">
        <v>1.6868000000000001</v>
      </c>
      <c r="I590" s="32" t="s">
        <v>174</v>
      </c>
      <c r="J590" s="32">
        <v>2</v>
      </c>
      <c r="K590" s="32" t="s">
        <v>183</v>
      </c>
      <c r="L590" s="18">
        <f t="shared" si="9"/>
        <v>999999999</v>
      </c>
    </row>
    <row r="591" spans="1:12" ht="15" customHeight="1" x14ac:dyDescent="0.25">
      <c r="A591" s="32" t="s">
        <v>186</v>
      </c>
      <c r="B591" s="32" t="s">
        <v>62</v>
      </c>
      <c r="C591" s="32" t="s">
        <v>154</v>
      </c>
      <c r="D591" s="32">
        <v>20.51</v>
      </c>
      <c r="E591" s="32">
        <v>21</v>
      </c>
      <c r="F591" s="32" t="s">
        <v>173</v>
      </c>
      <c r="G591" s="32">
        <v>3.7168000000000001</v>
      </c>
      <c r="H591" s="32">
        <v>1.7168000000000001</v>
      </c>
      <c r="I591" s="32" t="s">
        <v>174</v>
      </c>
      <c r="J591" s="32">
        <v>2</v>
      </c>
      <c r="K591" s="32" t="s">
        <v>183</v>
      </c>
      <c r="L591" s="18">
        <f t="shared" si="9"/>
        <v>999999999</v>
      </c>
    </row>
    <row r="592" spans="1:12" ht="15" customHeight="1" x14ac:dyDescent="0.25">
      <c r="A592" s="32" t="s">
        <v>186</v>
      </c>
      <c r="B592" s="32" t="s">
        <v>62</v>
      </c>
      <c r="C592" s="32" t="s">
        <v>154</v>
      </c>
      <c r="D592" s="32">
        <v>21.01</v>
      </c>
      <c r="E592" s="32">
        <v>21.5</v>
      </c>
      <c r="F592" s="32" t="s">
        <v>173</v>
      </c>
      <c r="G592" s="32">
        <v>3.7467999999999999</v>
      </c>
      <c r="H592" s="32">
        <v>1.7467999999999999</v>
      </c>
      <c r="I592" s="32" t="s">
        <v>174</v>
      </c>
      <c r="J592" s="32">
        <v>2</v>
      </c>
      <c r="K592" s="32" t="s">
        <v>183</v>
      </c>
      <c r="L592" s="18">
        <f t="shared" si="9"/>
        <v>999999999</v>
      </c>
    </row>
    <row r="593" spans="1:12" ht="15" customHeight="1" x14ac:dyDescent="0.25">
      <c r="A593" s="32" t="s">
        <v>186</v>
      </c>
      <c r="B593" s="32" t="s">
        <v>62</v>
      </c>
      <c r="C593" s="32" t="s">
        <v>154</v>
      </c>
      <c r="D593" s="32">
        <v>21.51</v>
      </c>
      <c r="E593" s="32">
        <v>22</v>
      </c>
      <c r="F593" s="32" t="s">
        <v>173</v>
      </c>
      <c r="G593" s="32">
        <v>3.7768000000000002</v>
      </c>
      <c r="H593" s="32">
        <v>1.7767999999999999</v>
      </c>
      <c r="I593" s="32" t="s">
        <v>174</v>
      </c>
      <c r="J593" s="32">
        <v>2</v>
      </c>
      <c r="K593" s="32" t="s">
        <v>183</v>
      </c>
      <c r="L593" s="18">
        <f t="shared" si="9"/>
        <v>999999999</v>
      </c>
    </row>
    <row r="594" spans="1:12" ht="15" customHeight="1" x14ac:dyDescent="0.25">
      <c r="A594" s="32" t="s">
        <v>186</v>
      </c>
      <c r="B594" s="32" t="s">
        <v>62</v>
      </c>
      <c r="C594" s="32" t="s">
        <v>154</v>
      </c>
      <c r="D594" s="32">
        <v>22.01</v>
      </c>
      <c r="E594" s="32">
        <v>22.5</v>
      </c>
      <c r="F594" s="32" t="s">
        <v>173</v>
      </c>
      <c r="G594" s="32">
        <v>3.8068</v>
      </c>
      <c r="H594" s="32">
        <v>1.8068</v>
      </c>
      <c r="I594" s="32" t="s">
        <v>174</v>
      </c>
      <c r="J594" s="32">
        <v>2</v>
      </c>
      <c r="K594" s="32" t="s">
        <v>183</v>
      </c>
      <c r="L594" s="18">
        <f t="shared" si="9"/>
        <v>999999999</v>
      </c>
    </row>
    <row r="595" spans="1:12" ht="15" customHeight="1" x14ac:dyDescent="0.25">
      <c r="A595" s="32" t="s">
        <v>186</v>
      </c>
      <c r="B595" s="32" t="s">
        <v>62</v>
      </c>
      <c r="C595" s="32" t="s">
        <v>154</v>
      </c>
      <c r="D595" s="32">
        <v>22.51</v>
      </c>
      <c r="E595" s="32">
        <v>23</v>
      </c>
      <c r="F595" s="32" t="s">
        <v>173</v>
      </c>
      <c r="G595" s="32">
        <v>3.8368000000000002</v>
      </c>
      <c r="H595" s="32">
        <v>1.8368</v>
      </c>
      <c r="I595" s="32" t="s">
        <v>174</v>
      </c>
      <c r="J595" s="32">
        <v>2</v>
      </c>
      <c r="K595" s="32" t="s">
        <v>183</v>
      </c>
      <c r="L595" s="18">
        <f t="shared" si="9"/>
        <v>999999999</v>
      </c>
    </row>
    <row r="596" spans="1:12" ht="15" customHeight="1" x14ac:dyDescent="0.25">
      <c r="A596" s="32" t="s">
        <v>186</v>
      </c>
      <c r="B596" s="32" t="s">
        <v>62</v>
      </c>
      <c r="C596" s="32" t="s">
        <v>154</v>
      </c>
      <c r="D596" s="32">
        <v>23.01</v>
      </c>
      <c r="E596" s="32">
        <v>23.5</v>
      </c>
      <c r="F596" s="32" t="s">
        <v>173</v>
      </c>
      <c r="G596" s="32">
        <v>3.8668</v>
      </c>
      <c r="H596" s="32">
        <v>1.8668</v>
      </c>
      <c r="I596" s="32" t="s">
        <v>174</v>
      </c>
      <c r="J596" s="32">
        <v>2</v>
      </c>
      <c r="K596" s="32" t="s">
        <v>183</v>
      </c>
      <c r="L596" s="18">
        <f t="shared" si="9"/>
        <v>999999999</v>
      </c>
    </row>
    <row r="597" spans="1:12" ht="15" customHeight="1" x14ac:dyDescent="0.25">
      <c r="A597" s="32" t="s">
        <v>186</v>
      </c>
      <c r="B597" s="32" t="s">
        <v>62</v>
      </c>
      <c r="C597" s="32" t="s">
        <v>154</v>
      </c>
      <c r="D597" s="32">
        <v>23.51</v>
      </c>
      <c r="E597" s="32">
        <v>24</v>
      </c>
      <c r="F597" s="32" t="s">
        <v>173</v>
      </c>
      <c r="G597" s="32">
        <v>3.8967999999999998</v>
      </c>
      <c r="H597" s="32">
        <v>1.8968</v>
      </c>
      <c r="I597" s="32" t="s">
        <v>174</v>
      </c>
      <c r="J597" s="32">
        <v>2</v>
      </c>
      <c r="K597" s="32" t="s">
        <v>183</v>
      </c>
      <c r="L597" s="18">
        <f t="shared" si="9"/>
        <v>999999999</v>
      </c>
    </row>
    <row r="598" spans="1:12" ht="15" customHeight="1" x14ac:dyDescent="0.25">
      <c r="A598" s="32" t="s">
        <v>186</v>
      </c>
      <c r="B598" s="32" t="s">
        <v>62</v>
      </c>
      <c r="C598" s="32" t="s">
        <v>154</v>
      </c>
      <c r="D598" s="32">
        <v>24.01</v>
      </c>
      <c r="E598" s="32">
        <v>24.5</v>
      </c>
      <c r="F598" s="32" t="s">
        <v>173</v>
      </c>
      <c r="G598" s="32">
        <v>3.9268000000000001</v>
      </c>
      <c r="H598" s="32">
        <v>1.9268000000000001</v>
      </c>
      <c r="I598" s="32" t="s">
        <v>174</v>
      </c>
      <c r="J598" s="32">
        <v>2</v>
      </c>
      <c r="K598" s="32" t="s">
        <v>183</v>
      </c>
      <c r="L598" s="18">
        <f t="shared" si="9"/>
        <v>999999999</v>
      </c>
    </row>
    <row r="599" spans="1:12" ht="15" customHeight="1" x14ac:dyDescent="0.25">
      <c r="A599" s="32" t="s">
        <v>186</v>
      </c>
      <c r="B599" s="32" t="s">
        <v>62</v>
      </c>
      <c r="C599" s="32" t="s">
        <v>154</v>
      </c>
      <c r="D599" s="32">
        <v>24.51</v>
      </c>
      <c r="E599" s="32">
        <v>25</v>
      </c>
      <c r="F599" s="32" t="s">
        <v>173</v>
      </c>
      <c r="G599" s="32">
        <v>3.9567999999999999</v>
      </c>
      <c r="H599" s="32">
        <v>1.9568000000000001</v>
      </c>
      <c r="I599" s="32" t="s">
        <v>174</v>
      </c>
      <c r="J599" s="32">
        <v>2</v>
      </c>
      <c r="K599" s="32" t="s">
        <v>183</v>
      </c>
      <c r="L599" s="18">
        <f t="shared" si="9"/>
        <v>999999999</v>
      </c>
    </row>
    <row r="600" spans="1:12" ht="15" customHeight="1" x14ac:dyDescent="0.25">
      <c r="A600" s="32" t="s">
        <v>186</v>
      </c>
      <c r="B600" s="32" t="s">
        <v>62</v>
      </c>
      <c r="C600" s="32" t="s">
        <v>154</v>
      </c>
      <c r="D600" s="32">
        <v>25.01</v>
      </c>
      <c r="E600" s="32">
        <v>25.5</v>
      </c>
      <c r="F600" s="32" t="s">
        <v>173</v>
      </c>
      <c r="G600" s="32">
        <v>3.9868000000000001</v>
      </c>
      <c r="H600" s="32">
        <v>1.9867999999999999</v>
      </c>
      <c r="I600" s="32" t="s">
        <v>174</v>
      </c>
      <c r="J600" s="32">
        <v>2</v>
      </c>
      <c r="K600" s="32" t="s">
        <v>183</v>
      </c>
      <c r="L600" s="18">
        <f t="shared" si="9"/>
        <v>999999999</v>
      </c>
    </row>
    <row r="601" spans="1:12" ht="15" customHeight="1" x14ac:dyDescent="0.25">
      <c r="A601" s="32" t="s">
        <v>186</v>
      </c>
      <c r="B601" s="32" t="s">
        <v>62</v>
      </c>
      <c r="C601" s="32" t="s">
        <v>154</v>
      </c>
      <c r="D601" s="32">
        <v>25.51</v>
      </c>
      <c r="E601" s="32">
        <v>26</v>
      </c>
      <c r="F601" s="32" t="s">
        <v>173</v>
      </c>
      <c r="G601" s="32">
        <v>5.0167999999999999</v>
      </c>
      <c r="H601" s="32">
        <v>3.0167999999999999</v>
      </c>
      <c r="I601" s="32" t="s">
        <v>174</v>
      </c>
      <c r="J601" s="32">
        <v>2</v>
      </c>
      <c r="K601" s="32" t="s">
        <v>183</v>
      </c>
      <c r="L601" s="18">
        <f t="shared" si="9"/>
        <v>999999999</v>
      </c>
    </row>
    <row r="602" spans="1:12" ht="15" customHeight="1" x14ac:dyDescent="0.25">
      <c r="A602" s="32" t="s">
        <v>186</v>
      </c>
      <c r="B602" s="32" t="s">
        <v>62</v>
      </c>
      <c r="C602" s="32" t="s">
        <v>154</v>
      </c>
      <c r="D602" s="32">
        <v>26.01</v>
      </c>
      <c r="E602" s="32">
        <v>26.5</v>
      </c>
      <c r="F602" s="32" t="s">
        <v>173</v>
      </c>
      <c r="G602" s="32">
        <v>5.0468000000000002</v>
      </c>
      <c r="H602" s="32">
        <v>1.0468</v>
      </c>
      <c r="I602" s="32" t="s">
        <v>174</v>
      </c>
      <c r="J602" s="32">
        <v>2</v>
      </c>
      <c r="K602" s="32" t="s">
        <v>183</v>
      </c>
      <c r="L602" s="18">
        <f t="shared" si="9"/>
        <v>999999999</v>
      </c>
    </row>
    <row r="603" spans="1:12" ht="15" customHeight="1" x14ac:dyDescent="0.25">
      <c r="A603" s="32" t="s">
        <v>186</v>
      </c>
      <c r="B603" s="32" t="s">
        <v>62</v>
      </c>
      <c r="C603" s="32" t="s">
        <v>154</v>
      </c>
      <c r="D603" s="32">
        <v>26.51</v>
      </c>
      <c r="E603" s="32">
        <v>27</v>
      </c>
      <c r="F603" s="32" t="s">
        <v>173</v>
      </c>
      <c r="G603" s="32">
        <v>5.0768000000000004</v>
      </c>
      <c r="H603" s="32">
        <v>2.0768</v>
      </c>
      <c r="I603" s="32" t="s">
        <v>174</v>
      </c>
      <c r="J603" s="32">
        <v>2</v>
      </c>
      <c r="K603" s="32" t="s">
        <v>183</v>
      </c>
      <c r="L603" s="18">
        <f t="shared" si="9"/>
        <v>999999999</v>
      </c>
    </row>
    <row r="604" spans="1:12" ht="15" customHeight="1" x14ac:dyDescent="0.25">
      <c r="A604" s="32" t="s">
        <v>186</v>
      </c>
      <c r="B604" s="32" t="s">
        <v>62</v>
      </c>
      <c r="C604" s="32" t="s">
        <v>154</v>
      </c>
      <c r="D604" s="32">
        <v>27.01</v>
      </c>
      <c r="E604" s="32">
        <v>27.5</v>
      </c>
      <c r="F604" s="32" t="s">
        <v>173</v>
      </c>
      <c r="G604" s="32">
        <v>5.1067999999999998</v>
      </c>
      <c r="H604" s="32">
        <v>1.1068</v>
      </c>
      <c r="I604" s="32" t="s">
        <v>174</v>
      </c>
      <c r="J604" s="32">
        <v>2</v>
      </c>
      <c r="K604" s="32" t="s">
        <v>183</v>
      </c>
      <c r="L604" s="18">
        <f t="shared" si="9"/>
        <v>999999999</v>
      </c>
    </row>
    <row r="605" spans="1:12" ht="15" customHeight="1" x14ac:dyDescent="0.25">
      <c r="A605" s="32" t="s">
        <v>186</v>
      </c>
      <c r="B605" s="32" t="s">
        <v>62</v>
      </c>
      <c r="C605" s="32" t="s">
        <v>154</v>
      </c>
      <c r="D605" s="32">
        <v>27.51</v>
      </c>
      <c r="E605" s="32">
        <v>28</v>
      </c>
      <c r="F605" s="32" t="s">
        <v>173</v>
      </c>
      <c r="G605" s="32">
        <v>5.1368</v>
      </c>
      <c r="H605" s="32">
        <v>2.1368</v>
      </c>
      <c r="I605" s="32" t="s">
        <v>174</v>
      </c>
      <c r="J605" s="32">
        <v>2</v>
      </c>
      <c r="K605" s="32" t="s">
        <v>183</v>
      </c>
      <c r="L605" s="18">
        <f t="shared" si="9"/>
        <v>999999999</v>
      </c>
    </row>
    <row r="606" spans="1:12" ht="15" customHeight="1" x14ac:dyDescent="0.25">
      <c r="A606" s="32" t="s">
        <v>186</v>
      </c>
      <c r="B606" s="32" t="s">
        <v>62</v>
      </c>
      <c r="C606" s="32" t="s">
        <v>154</v>
      </c>
      <c r="D606" s="32">
        <v>28.01</v>
      </c>
      <c r="E606" s="32">
        <v>28.5</v>
      </c>
      <c r="F606" s="32" t="s">
        <v>173</v>
      </c>
      <c r="G606" s="32">
        <v>5.1668000000000003</v>
      </c>
      <c r="H606" s="32">
        <v>1.1668000000000001</v>
      </c>
      <c r="I606" s="32" t="s">
        <v>174</v>
      </c>
      <c r="J606" s="32">
        <v>2</v>
      </c>
      <c r="K606" s="32" t="s">
        <v>183</v>
      </c>
      <c r="L606" s="18">
        <f t="shared" si="9"/>
        <v>999999999</v>
      </c>
    </row>
    <row r="607" spans="1:12" ht="15" customHeight="1" x14ac:dyDescent="0.25">
      <c r="A607" s="32" t="s">
        <v>186</v>
      </c>
      <c r="B607" s="32" t="s">
        <v>62</v>
      </c>
      <c r="C607" s="32" t="s">
        <v>154</v>
      </c>
      <c r="D607" s="32">
        <v>28.51</v>
      </c>
      <c r="E607" s="32">
        <v>29</v>
      </c>
      <c r="F607" s="32" t="s">
        <v>173</v>
      </c>
      <c r="G607" s="32">
        <v>5.1967999999999996</v>
      </c>
      <c r="H607" s="32">
        <v>3.1968000000000001</v>
      </c>
      <c r="I607" s="32" t="s">
        <v>174</v>
      </c>
      <c r="J607" s="32">
        <v>2</v>
      </c>
      <c r="K607" s="32" t="s">
        <v>183</v>
      </c>
      <c r="L607" s="18">
        <f t="shared" si="9"/>
        <v>999999999</v>
      </c>
    </row>
    <row r="608" spans="1:12" ht="15" customHeight="1" x14ac:dyDescent="0.25">
      <c r="A608" s="32" t="s">
        <v>186</v>
      </c>
      <c r="B608" s="32" t="s">
        <v>62</v>
      </c>
      <c r="C608" s="32" t="s">
        <v>154</v>
      </c>
      <c r="D608" s="32">
        <v>29.01</v>
      </c>
      <c r="E608" s="32">
        <v>29.5</v>
      </c>
      <c r="F608" s="32" t="s">
        <v>173</v>
      </c>
      <c r="G608" s="32">
        <v>5.2267999999999999</v>
      </c>
      <c r="H608" s="32">
        <v>1.2267999999999999</v>
      </c>
      <c r="I608" s="32" t="s">
        <v>174</v>
      </c>
      <c r="J608" s="32">
        <v>2</v>
      </c>
      <c r="K608" s="32" t="s">
        <v>183</v>
      </c>
      <c r="L608" s="18">
        <f t="shared" si="9"/>
        <v>999999999</v>
      </c>
    </row>
    <row r="609" spans="1:12" ht="15" customHeight="1" x14ac:dyDescent="0.25">
      <c r="A609" s="32" t="s">
        <v>186</v>
      </c>
      <c r="B609" s="32" t="s">
        <v>62</v>
      </c>
      <c r="C609" s="32" t="s">
        <v>154</v>
      </c>
      <c r="D609" s="32">
        <v>29.51</v>
      </c>
      <c r="E609" s="32">
        <v>30</v>
      </c>
      <c r="F609" s="32" t="s">
        <v>173</v>
      </c>
      <c r="G609" s="32">
        <v>5.2568000000000001</v>
      </c>
      <c r="H609" s="32">
        <v>3.2568000000000001</v>
      </c>
      <c r="I609" s="32" t="s">
        <v>174</v>
      </c>
      <c r="J609" s="32">
        <v>2</v>
      </c>
      <c r="K609" s="32" t="s">
        <v>183</v>
      </c>
      <c r="L609" s="18">
        <f t="shared" si="9"/>
        <v>999999999</v>
      </c>
    </row>
    <row r="610" spans="1:12" ht="15" customHeight="1" x14ac:dyDescent="0.25">
      <c r="A610" s="32" t="s">
        <v>186</v>
      </c>
      <c r="B610" s="32" t="s">
        <v>62</v>
      </c>
      <c r="C610" s="32" t="s">
        <v>154</v>
      </c>
      <c r="D610" s="32">
        <v>30.01</v>
      </c>
      <c r="E610" s="32">
        <v>30.5</v>
      </c>
      <c r="F610" s="32" t="s">
        <v>173</v>
      </c>
      <c r="G610" s="32">
        <v>5.2868000000000004</v>
      </c>
      <c r="H610" s="32">
        <v>1.2867999999999999</v>
      </c>
      <c r="I610" s="32" t="s">
        <v>174</v>
      </c>
      <c r="J610" s="32">
        <v>2</v>
      </c>
      <c r="K610" s="32" t="s">
        <v>183</v>
      </c>
      <c r="L610" s="18">
        <f t="shared" si="9"/>
        <v>999999999</v>
      </c>
    </row>
    <row r="611" spans="1:12" ht="15" customHeight="1" x14ac:dyDescent="0.25">
      <c r="A611" s="32" t="s">
        <v>186</v>
      </c>
      <c r="B611" s="32" t="s">
        <v>62</v>
      </c>
      <c r="C611" s="32" t="s">
        <v>154</v>
      </c>
      <c r="D611" s="32">
        <v>30.51</v>
      </c>
      <c r="E611" s="32">
        <v>31</v>
      </c>
      <c r="F611" s="32" t="s">
        <v>173</v>
      </c>
      <c r="G611" s="32">
        <v>5.3167999999999997</v>
      </c>
      <c r="H611" s="32">
        <v>3.3168000000000002</v>
      </c>
      <c r="I611" s="32" t="s">
        <v>174</v>
      </c>
      <c r="J611" s="32">
        <v>2</v>
      </c>
      <c r="K611" s="32" t="s">
        <v>183</v>
      </c>
      <c r="L611" s="18">
        <f t="shared" si="9"/>
        <v>999999999</v>
      </c>
    </row>
    <row r="612" spans="1:12" ht="15" customHeight="1" x14ac:dyDescent="0.25">
      <c r="A612" s="32" t="s">
        <v>186</v>
      </c>
      <c r="B612" s="32" t="s">
        <v>62</v>
      </c>
      <c r="C612" s="32" t="s">
        <v>154</v>
      </c>
      <c r="D612" s="32">
        <v>31.01</v>
      </c>
      <c r="E612" s="32">
        <v>31.5</v>
      </c>
      <c r="F612" s="32" t="s">
        <v>173</v>
      </c>
      <c r="G612" s="32">
        <v>5.3468</v>
      </c>
      <c r="H612" s="32">
        <v>3.3468</v>
      </c>
      <c r="I612" s="32" t="s">
        <v>174</v>
      </c>
      <c r="J612" s="32">
        <v>2</v>
      </c>
      <c r="K612" s="32" t="s">
        <v>183</v>
      </c>
      <c r="L612" s="18">
        <f t="shared" si="9"/>
        <v>999999999</v>
      </c>
    </row>
    <row r="613" spans="1:12" ht="15" customHeight="1" x14ac:dyDescent="0.25">
      <c r="A613" s="32" t="s">
        <v>186</v>
      </c>
      <c r="B613" s="32" t="s">
        <v>62</v>
      </c>
      <c r="C613" s="32" t="s">
        <v>154</v>
      </c>
      <c r="D613" s="32">
        <v>31.51</v>
      </c>
      <c r="E613" s="32">
        <v>32</v>
      </c>
      <c r="F613" s="32" t="s">
        <v>173</v>
      </c>
      <c r="G613" s="32">
        <v>5.3768000000000002</v>
      </c>
      <c r="H613" s="32">
        <v>1.3768</v>
      </c>
      <c r="I613" s="32" t="s">
        <v>174</v>
      </c>
      <c r="J613" s="32">
        <v>2</v>
      </c>
      <c r="K613" s="32" t="s">
        <v>183</v>
      </c>
      <c r="L613" s="18">
        <f t="shared" si="9"/>
        <v>999999999</v>
      </c>
    </row>
    <row r="614" spans="1:12" ht="15" customHeight="1" x14ac:dyDescent="0.25">
      <c r="A614" s="32" t="s">
        <v>186</v>
      </c>
      <c r="B614" s="32" t="s">
        <v>62</v>
      </c>
      <c r="C614" s="32" t="s">
        <v>154</v>
      </c>
      <c r="D614" s="32">
        <v>32.01</v>
      </c>
      <c r="E614" s="32">
        <v>32.5</v>
      </c>
      <c r="F614" s="32" t="s">
        <v>173</v>
      </c>
      <c r="G614" s="32">
        <v>5.4067999999999996</v>
      </c>
      <c r="H614" s="32">
        <v>1.4068000000000001</v>
      </c>
      <c r="I614" s="32" t="s">
        <v>174</v>
      </c>
      <c r="J614" s="32">
        <v>2</v>
      </c>
      <c r="K614" s="32" t="s">
        <v>183</v>
      </c>
      <c r="L614" s="18">
        <f t="shared" si="9"/>
        <v>999999999</v>
      </c>
    </row>
    <row r="615" spans="1:12" ht="15" customHeight="1" x14ac:dyDescent="0.25">
      <c r="A615" s="32" t="s">
        <v>186</v>
      </c>
      <c r="B615" s="32" t="s">
        <v>62</v>
      </c>
      <c r="C615" s="32" t="s">
        <v>154</v>
      </c>
      <c r="D615" s="32">
        <v>32.51</v>
      </c>
      <c r="E615" s="32">
        <v>33</v>
      </c>
      <c r="F615" s="32" t="s">
        <v>173</v>
      </c>
      <c r="G615" s="32">
        <v>5.4367999999999999</v>
      </c>
      <c r="H615" s="32">
        <v>1.4368000000000001</v>
      </c>
      <c r="I615" s="32" t="s">
        <v>174</v>
      </c>
      <c r="J615" s="32">
        <v>2</v>
      </c>
      <c r="K615" s="32" t="s">
        <v>183</v>
      </c>
      <c r="L615" s="18">
        <f t="shared" si="9"/>
        <v>999999999</v>
      </c>
    </row>
    <row r="616" spans="1:12" ht="15" customHeight="1" x14ac:dyDescent="0.25">
      <c r="A616" s="32" t="s">
        <v>186</v>
      </c>
      <c r="B616" s="32" t="s">
        <v>62</v>
      </c>
      <c r="C616" s="32" t="s">
        <v>154</v>
      </c>
      <c r="D616" s="32">
        <v>33.01</v>
      </c>
      <c r="E616" s="32">
        <v>33.5</v>
      </c>
      <c r="F616" s="32" t="s">
        <v>173</v>
      </c>
      <c r="G616" s="32">
        <v>5.4668000000000001</v>
      </c>
      <c r="H616" s="32">
        <v>2.4668000000000001</v>
      </c>
      <c r="I616" s="32" t="s">
        <v>174</v>
      </c>
      <c r="J616" s="32">
        <v>2</v>
      </c>
      <c r="K616" s="32" t="s">
        <v>183</v>
      </c>
      <c r="L616" s="18">
        <f t="shared" si="9"/>
        <v>999999999</v>
      </c>
    </row>
    <row r="617" spans="1:12" ht="15" customHeight="1" x14ac:dyDescent="0.25">
      <c r="A617" s="32" t="s">
        <v>186</v>
      </c>
      <c r="B617" s="32" t="s">
        <v>62</v>
      </c>
      <c r="C617" s="32" t="s">
        <v>154</v>
      </c>
      <c r="D617" s="32">
        <v>33.51</v>
      </c>
      <c r="E617" s="32">
        <v>34</v>
      </c>
      <c r="F617" s="32" t="s">
        <v>173</v>
      </c>
      <c r="G617" s="32">
        <v>5.4968000000000004</v>
      </c>
      <c r="H617" s="32">
        <v>2.4967999999999999</v>
      </c>
      <c r="I617" s="32" t="s">
        <v>174</v>
      </c>
      <c r="J617" s="32">
        <v>2</v>
      </c>
      <c r="K617" s="32" t="s">
        <v>183</v>
      </c>
      <c r="L617" s="18">
        <f t="shared" si="9"/>
        <v>999999999</v>
      </c>
    </row>
    <row r="618" spans="1:12" ht="15" customHeight="1" x14ac:dyDescent="0.25">
      <c r="A618" s="32" t="s">
        <v>186</v>
      </c>
      <c r="B618" s="32" t="s">
        <v>62</v>
      </c>
      <c r="C618" s="32" t="s">
        <v>154</v>
      </c>
      <c r="D618" s="32">
        <v>34.01</v>
      </c>
      <c r="E618" s="32">
        <v>34.5</v>
      </c>
      <c r="F618" s="32" t="s">
        <v>173</v>
      </c>
      <c r="G618" s="32">
        <v>5.5267999999999997</v>
      </c>
      <c r="H618" s="32">
        <v>2.5268000000000002</v>
      </c>
      <c r="I618" s="32" t="s">
        <v>174</v>
      </c>
      <c r="J618" s="32">
        <v>2</v>
      </c>
      <c r="K618" s="32" t="s">
        <v>183</v>
      </c>
      <c r="L618" s="18">
        <f t="shared" si="9"/>
        <v>999999999</v>
      </c>
    </row>
    <row r="619" spans="1:12" ht="15" customHeight="1" x14ac:dyDescent="0.25">
      <c r="A619" s="32" t="s">
        <v>186</v>
      </c>
      <c r="B619" s="32" t="s">
        <v>62</v>
      </c>
      <c r="C619" s="32" t="s">
        <v>154</v>
      </c>
      <c r="D619" s="32">
        <v>34.51</v>
      </c>
      <c r="E619" s="32">
        <v>35</v>
      </c>
      <c r="F619" s="32" t="s">
        <v>173</v>
      </c>
      <c r="G619" s="32">
        <v>5.5568</v>
      </c>
      <c r="H619" s="32">
        <v>1.5568</v>
      </c>
      <c r="I619" s="32" t="s">
        <v>174</v>
      </c>
      <c r="J619" s="32">
        <v>2</v>
      </c>
      <c r="K619" s="32" t="s">
        <v>183</v>
      </c>
      <c r="L619" s="18">
        <f t="shared" si="9"/>
        <v>999999999</v>
      </c>
    </row>
    <row r="620" spans="1:12" ht="15" customHeight="1" x14ac:dyDescent="0.25">
      <c r="A620" s="32" t="s">
        <v>186</v>
      </c>
      <c r="B620" s="32" t="s">
        <v>62</v>
      </c>
      <c r="C620" s="32" t="s">
        <v>154</v>
      </c>
      <c r="D620" s="32">
        <v>35.01</v>
      </c>
      <c r="E620" s="32">
        <v>35.5</v>
      </c>
      <c r="F620" s="32" t="s">
        <v>173</v>
      </c>
      <c r="G620" s="32">
        <v>5.5868000000000002</v>
      </c>
      <c r="H620" s="32">
        <v>3.5868000000000002</v>
      </c>
      <c r="I620" s="32" t="s">
        <v>174</v>
      </c>
      <c r="J620" s="32">
        <v>2</v>
      </c>
      <c r="K620" s="32" t="s">
        <v>183</v>
      </c>
      <c r="L620" s="18">
        <f t="shared" si="9"/>
        <v>999999999</v>
      </c>
    </row>
    <row r="621" spans="1:12" ht="15" customHeight="1" x14ac:dyDescent="0.25">
      <c r="A621" s="32" t="s">
        <v>186</v>
      </c>
      <c r="B621" s="32" t="s">
        <v>62</v>
      </c>
      <c r="C621" s="32" t="s">
        <v>154</v>
      </c>
      <c r="D621" s="32">
        <v>35.51</v>
      </c>
      <c r="E621" s="32">
        <v>36</v>
      </c>
      <c r="F621" s="32" t="s">
        <v>173</v>
      </c>
      <c r="G621" s="32">
        <v>5.6167999999999996</v>
      </c>
      <c r="H621" s="32">
        <v>2.6168</v>
      </c>
      <c r="I621" s="32" t="s">
        <v>174</v>
      </c>
      <c r="J621" s="32">
        <v>2</v>
      </c>
      <c r="K621" s="32" t="s">
        <v>183</v>
      </c>
      <c r="L621" s="18">
        <f t="shared" si="9"/>
        <v>999999999</v>
      </c>
    </row>
    <row r="622" spans="1:12" ht="15" customHeight="1" x14ac:dyDescent="0.25">
      <c r="A622" s="32" t="s">
        <v>186</v>
      </c>
      <c r="B622" s="32" t="s">
        <v>62</v>
      </c>
      <c r="C622" s="32" t="s">
        <v>154</v>
      </c>
      <c r="D622" s="32">
        <v>36.01</v>
      </c>
      <c r="E622" s="32">
        <v>36.5</v>
      </c>
      <c r="F622" s="32" t="s">
        <v>173</v>
      </c>
      <c r="G622" s="32">
        <v>5.6467999999999998</v>
      </c>
      <c r="H622" s="32">
        <v>1.6468</v>
      </c>
      <c r="I622" s="32" t="s">
        <v>174</v>
      </c>
      <c r="J622" s="32">
        <v>2</v>
      </c>
      <c r="K622" s="32" t="s">
        <v>183</v>
      </c>
      <c r="L622" s="18">
        <f t="shared" si="9"/>
        <v>999999999</v>
      </c>
    </row>
    <row r="623" spans="1:12" ht="15" customHeight="1" x14ac:dyDescent="0.25">
      <c r="A623" s="32" t="s">
        <v>186</v>
      </c>
      <c r="B623" s="32" t="s">
        <v>62</v>
      </c>
      <c r="C623" s="32" t="s">
        <v>154</v>
      </c>
      <c r="D623" s="32">
        <v>36.51</v>
      </c>
      <c r="E623" s="32">
        <v>37</v>
      </c>
      <c r="F623" s="32" t="s">
        <v>173</v>
      </c>
      <c r="G623" s="32">
        <v>5.6768000000000001</v>
      </c>
      <c r="H623" s="32">
        <v>2.6768000000000001</v>
      </c>
      <c r="I623" s="32" t="s">
        <v>174</v>
      </c>
      <c r="J623" s="32">
        <v>2</v>
      </c>
      <c r="K623" s="32" t="s">
        <v>183</v>
      </c>
      <c r="L623" s="18">
        <f t="shared" si="9"/>
        <v>999999999</v>
      </c>
    </row>
    <row r="624" spans="1:12" ht="15" customHeight="1" x14ac:dyDescent="0.25">
      <c r="A624" s="32" t="s">
        <v>186</v>
      </c>
      <c r="B624" s="32" t="s">
        <v>62</v>
      </c>
      <c r="C624" s="32" t="s">
        <v>154</v>
      </c>
      <c r="D624" s="32">
        <v>37.01</v>
      </c>
      <c r="E624" s="32">
        <v>37.5</v>
      </c>
      <c r="F624" s="32" t="s">
        <v>173</v>
      </c>
      <c r="G624" s="32">
        <v>5.7068000000000003</v>
      </c>
      <c r="H624" s="32">
        <v>3.7067999999999999</v>
      </c>
      <c r="I624" s="32" t="s">
        <v>174</v>
      </c>
      <c r="J624" s="32">
        <v>2</v>
      </c>
      <c r="K624" s="32" t="s">
        <v>183</v>
      </c>
      <c r="L624" s="18">
        <f t="shared" si="9"/>
        <v>999999999</v>
      </c>
    </row>
    <row r="625" spans="1:12" ht="15" customHeight="1" x14ac:dyDescent="0.25">
      <c r="A625" s="32" t="s">
        <v>186</v>
      </c>
      <c r="B625" s="32" t="s">
        <v>62</v>
      </c>
      <c r="C625" s="32" t="s">
        <v>154</v>
      </c>
      <c r="D625" s="32">
        <v>37.51</v>
      </c>
      <c r="E625" s="32">
        <v>38</v>
      </c>
      <c r="F625" s="32" t="s">
        <v>173</v>
      </c>
      <c r="G625" s="32">
        <v>5.7367999999999997</v>
      </c>
      <c r="H625" s="32">
        <v>2.7368000000000001</v>
      </c>
      <c r="I625" s="32" t="s">
        <v>174</v>
      </c>
      <c r="J625" s="32">
        <v>2</v>
      </c>
      <c r="K625" s="32" t="s">
        <v>183</v>
      </c>
      <c r="L625" s="18">
        <f t="shared" si="9"/>
        <v>999999999</v>
      </c>
    </row>
    <row r="626" spans="1:12" ht="15" customHeight="1" x14ac:dyDescent="0.25">
      <c r="A626" s="32" t="s">
        <v>186</v>
      </c>
      <c r="B626" s="32" t="s">
        <v>62</v>
      </c>
      <c r="C626" s="32" t="s">
        <v>154</v>
      </c>
      <c r="D626" s="32">
        <v>38.01</v>
      </c>
      <c r="E626" s="32">
        <v>38.5</v>
      </c>
      <c r="F626" s="32" t="s">
        <v>173</v>
      </c>
      <c r="G626" s="32">
        <v>5.7667999999999999</v>
      </c>
      <c r="H626" s="32">
        <v>2.7667999999999999</v>
      </c>
      <c r="I626" s="32" t="s">
        <v>174</v>
      </c>
      <c r="J626" s="32">
        <v>2</v>
      </c>
      <c r="K626" s="32" t="s">
        <v>183</v>
      </c>
      <c r="L626" s="18">
        <f t="shared" si="9"/>
        <v>999999999</v>
      </c>
    </row>
    <row r="627" spans="1:12" ht="15" customHeight="1" x14ac:dyDescent="0.25">
      <c r="A627" s="32" t="s">
        <v>186</v>
      </c>
      <c r="B627" s="32" t="s">
        <v>62</v>
      </c>
      <c r="C627" s="32" t="s">
        <v>154</v>
      </c>
      <c r="D627" s="32">
        <v>38.51</v>
      </c>
      <c r="E627" s="32">
        <v>39</v>
      </c>
      <c r="F627" s="32" t="s">
        <v>173</v>
      </c>
      <c r="G627" s="32">
        <v>5.7968000000000002</v>
      </c>
      <c r="H627" s="32">
        <v>3.7968000000000002</v>
      </c>
      <c r="I627" s="32" t="s">
        <v>174</v>
      </c>
      <c r="J627" s="32">
        <v>2</v>
      </c>
      <c r="K627" s="32" t="s">
        <v>183</v>
      </c>
      <c r="L627" s="18">
        <f t="shared" si="9"/>
        <v>999999999</v>
      </c>
    </row>
    <row r="628" spans="1:12" ht="15" customHeight="1" x14ac:dyDescent="0.25">
      <c r="A628" s="32" t="s">
        <v>186</v>
      </c>
      <c r="B628" s="32" t="s">
        <v>62</v>
      </c>
      <c r="C628" s="32" t="s">
        <v>154</v>
      </c>
      <c r="D628" s="32">
        <v>39.01</v>
      </c>
      <c r="E628" s="32">
        <v>39.5</v>
      </c>
      <c r="F628" s="32" t="s">
        <v>173</v>
      </c>
      <c r="G628" s="32">
        <v>5.8268000000000004</v>
      </c>
      <c r="H628" s="32">
        <v>2.8268</v>
      </c>
      <c r="I628" s="32" t="s">
        <v>174</v>
      </c>
      <c r="J628" s="32">
        <v>2</v>
      </c>
      <c r="K628" s="32" t="s">
        <v>183</v>
      </c>
      <c r="L628" s="18">
        <f t="shared" si="9"/>
        <v>999999999</v>
      </c>
    </row>
    <row r="629" spans="1:12" ht="15" customHeight="1" x14ac:dyDescent="0.25">
      <c r="A629" s="32" t="s">
        <v>186</v>
      </c>
      <c r="B629" s="32" t="s">
        <v>62</v>
      </c>
      <c r="C629" s="32" t="s">
        <v>154</v>
      </c>
      <c r="D629" s="32">
        <v>39.51</v>
      </c>
      <c r="E629" s="32">
        <v>40</v>
      </c>
      <c r="F629" s="32" t="s">
        <v>173</v>
      </c>
      <c r="G629" s="32">
        <v>5.8567999999999998</v>
      </c>
      <c r="H629" s="32">
        <v>2.8567999999999998</v>
      </c>
      <c r="I629" s="32" t="s">
        <v>174</v>
      </c>
      <c r="J629" s="32">
        <v>2</v>
      </c>
      <c r="K629" s="32" t="s">
        <v>183</v>
      </c>
      <c r="L629" s="18">
        <f t="shared" si="9"/>
        <v>999999999</v>
      </c>
    </row>
    <row r="630" spans="1:12" ht="15" customHeight="1" x14ac:dyDescent="0.25">
      <c r="A630" s="32" t="s">
        <v>186</v>
      </c>
      <c r="B630" s="32" t="s">
        <v>62</v>
      </c>
      <c r="C630" s="32" t="s">
        <v>154</v>
      </c>
      <c r="D630" s="32">
        <v>40.01</v>
      </c>
      <c r="E630" s="32">
        <v>40.5</v>
      </c>
      <c r="F630" s="32" t="s">
        <v>173</v>
      </c>
      <c r="G630" s="32">
        <v>5.8868</v>
      </c>
      <c r="H630" s="32">
        <v>3.8868</v>
      </c>
      <c r="I630" s="32" t="s">
        <v>174</v>
      </c>
      <c r="J630" s="32">
        <v>2</v>
      </c>
      <c r="K630" s="32" t="s">
        <v>183</v>
      </c>
      <c r="L630" s="18">
        <f t="shared" si="9"/>
        <v>999999999</v>
      </c>
    </row>
    <row r="631" spans="1:12" ht="15" customHeight="1" x14ac:dyDescent="0.25">
      <c r="A631" s="32" t="s">
        <v>186</v>
      </c>
      <c r="B631" s="32" t="s">
        <v>62</v>
      </c>
      <c r="C631" s="32" t="s">
        <v>154</v>
      </c>
      <c r="D631" s="32">
        <v>40.51</v>
      </c>
      <c r="E631" s="32">
        <v>41</v>
      </c>
      <c r="F631" s="32" t="s">
        <v>173</v>
      </c>
      <c r="G631" s="32">
        <v>5.9168000000000003</v>
      </c>
      <c r="H631" s="32">
        <v>2.9167999999999998</v>
      </c>
      <c r="I631" s="32" t="s">
        <v>174</v>
      </c>
      <c r="J631" s="32">
        <v>2</v>
      </c>
      <c r="K631" s="32" t="s">
        <v>183</v>
      </c>
      <c r="L631" s="18">
        <f t="shared" si="9"/>
        <v>999999999</v>
      </c>
    </row>
    <row r="632" spans="1:12" ht="15" customHeight="1" x14ac:dyDescent="0.25">
      <c r="A632" s="32" t="s">
        <v>186</v>
      </c>
      <c r="B632" s="32" t="s">
        <v>62</v>
      </c>
      <c r="C632" s="32" t="s">
        <v>154</v>
      </c>
      <c r="D632" s="32">
        <v>41.01</v>
      </c>
      <c r="E632" s="32">
        <v>41.5</v>
      </c>
      <c r="F632" s="32" t="s">
        <v>173</v>
      </c>
      <c r="G632" s="32">
        <v>5.9467999999999996</v>
      </c>
      <c r="H632" s="32">
        <v>1.9468000000000001</v>
      </c>
      <c r="I632" s="32" t="s">
        <v>174</v>
      </c>
      <c r="J632" s="32">
        <v>2</v>
      </c>
      <c r="K632" s="32" t="s">
        <v>183</v>
      </c>
      <c r="L632" s="18">
        <f t="shared" si="9"/>
        <v>999999999</v>
      </c>
    </row>
    <row r="633" spans="1:12" ht="15" customHeight="1" x14ac:dyDescent="0.25">
      <c r="A633" s="32" t="s">
        <v>186</v>
      </c>
      <c r="B633" s="32" t="s">
        <v>62</v>
      </c>
      <c r="C633" s="32" t="s">
        <v>154</v>
      </c>
      <c r="D633" s="32">
        <v>41.51</v>
      </c>
      <c r="E633" s="32">
        <v>42</v>
      </c>
      <c r="F633" s="32" t="s">
        <v>173</v>
      </c>
      <c r="G633" s="32">
        <v>5.9767999999999999</v>
      </c>
      <c r="H633" s="32">
        <v>1.9767999999999999</v>
      </c>
      <c r="I633" s="32" t="s">
        <v>174</v>
      </c>
      <c r="J633" s="32">
        <v>2</v>
      </c>
      <c r="K633" s="32" t="s">
        <v>183</v>
      </c>
      <c r="L633" s="18">
        <f t="shared" si="9"/>
        <v>999999999</v>
      </c>
    </row>
    <row r="634" spans="1:12" ht="15" customHeight="1" x14ac:dyDescent="0.25">
      <c r="A634" s="32" t="s">
        <v>186</v>
      </c>
      <c r="B634" s="32" t="s">
        <v>62</v>
      </c>
      <c r="C634" s="32" t="s">
        <v>154</v>
      </c>
      <c r="D634" s="32">
        <v>42.01</v>
      </c>
      <c r="E634" s="32">
        <v>42.5</v>
      </c>
      <c r="F634" s="32" t="s">
        <v>173</v>
      </c>
      <c r="G634" s="32">
        <v>7.0068000000000001</v>
      </c>
      <c r="H634" s="32">
        <v>3.0068000000000001</v>
      </c>
      <c r="I634" s="32" t="s">
        <v>174</v>
      </c>
      <c r="J634" s="32">
        <v>2</v>
      </c>
      <c r="K634" s="32" t="s">
        <v>183</v>
      </c>
      <c r="L634" s="18">
        <f t="shared" si="9"/>
        <v>999999999</v>
      </c>
    </row>
    <row r="635" spans="1:12" ht="15" customHeight="1" x14ac:dyDescent="0.25">
      <c r="A635" s="32" t="s">
        <v>186</v>
      </c>
      <c r="B635" s="32" t="s">
        <v>62</v>
      </c>
      <c r="C635" s="32" t="s">
        <v>154</v>
      </c>
      <c r="D635" s="32">
        <v>42.51</v>
      </c>
      <c r="E635" s="32">
        <v>43</v>
      </c>
      <c r="F635" s="32" t="s">
        <v>173</v>
      </c>
      <c r="G635" s="32">
        <v>7.0368000000000004</v>
      </c>
      <c r="H635" s="32">
        <v>2.0367999999999999</v>
      </c>
      <c r="I635" s="32" t="s">
        <v>174</v>
      </c>
      <c r="J635" s="32">
        <v>2</v>
      </c>
      <c r="K635" s="32" t="s">
        <v>183</v>
      </c>
      <c r="L635" s="18">
        <f t="shared" si="9"/>
        <v>999999999</v>
      </c>
    </row>
    <row r="636" spans="1:12" ht="15" customHeight="1" x14ac:dyDescent="0.25">
      <c r="A636" s="32" t="s">
        <v>186</v>
      </c>
      <c r="B636" s="32" t="s">
        <v>62</v>
      </c>
      <c r="C636" s="32" t="s">
        <v>154</v>
      </c>
      <c r="D636" s="32">
        <v>43.01</v>
      </c>
      <c r="E636" s="32">
        <v>43.5</v>
      </c>
      <c r="F636" s="32" t="s">
        <v>173</v>
      </c>
      <c r="G636" s="32">
        <v>7.0667999999999997</v>
      </c>
      <c r="H636" s="32">
        <v>2.0668000000000002</v>
      </c>
      <c r="I636" s="32" t="s">
        <v>174</v>
      </c>
      <c r="J636" s="32">
        <v>2</v>
      </c>
      <c r="K636" s="32" t="s">
        <v>183</v>
      </c>
      <c r="L636" s="18">
        <f t="shared" si="9"/>
        <v>999999999</v>
      </c>
    </row>
    <row r="637" spans="1:12" ht="15" customHeight="1" x14ac:dyDescent="0.25">
      <c r="A637" s="32" t="s">
        <v>186</v>
      </c>
      <c r="B637" s="32" t="s">
        <v>62</v>
      </c>
      <c r="C637" s="32" t="s">
        <v>154</v>
      </c>
      <c r="D637" s="32">
        <v>43.51</v>
      </c>
      <c r="E637" s="32">
        <v>44</v>
      </c>
      <c r="F637" s="32" t="s">
        <v>173</v>
      </c>
      <c r="G637" s="32">
        <v>7.0968</v>
      </c>
      <c r="H637" s="32">
        <v>2.0968</v>
      </c>
      <c r="I637" s="32" t="s">
        <v>174</v>
      </c>
      <c r="J637" s="32">
        <v>2</v>
      </c>
      <c r="K637" s="32" t="s">
        <v>183</v>
      </c>
      <c r="L637" s="18">
        <f t="shared" si="9"/>
        <v>999999999</v>
      </c>
    </row>
    <row r="638" spans="1:12" ht="15" customHeight="1" x14ac:dyDescent="0.25">
      <c r="A638" s="32" t="s">
        <v>186</v>
      </c>
      <c r="B638" s="32" t="s">
        <v>62</v>
      </c>
      <c r="C638" s="32" t="s">
        <v>154</v>
      </c>
      <c r="D638" s="32">
        <v>44.01</v>
      </c>
      <c r="E638" s="32">
        <v>44.5</v>
      </c>
      <c r="F638" s="32" t="s">
        <v>173</v>
      </c>
      <c r="G638" s="32">
        <v>7.1268000000000002</v>
      </c>
      <c r="H638" s="32">
        <v>3.1267999999999998</v>
      </c>
      <c r="I638" s="32" t="s">
        <v>174</v>
      </c>
      <c r="J638" s="32">
        <v>2</v>
      </c>
      <c r="K638" s="32" t="s">
        <v>183</v>
      </c>
      <c r="L638" s="18">
        <f t="shared" si="9"/>
        <v>999999999</v>
      </c>
    </row>
    <row r="639" spans="1:12" ht="15" customHeight="1" x14ac:dyDescent="0.25">
      <c r="A639" s="32" t="s">
        <v>186</v>
      </c>
      <c r="B639" s="32" t="s">
        <v>62</v>
      </c>
      <c r="C639" s="32" t="s">
        <v>154</v>
      </c>
      <c r="D639" s="32">
        <v>44.51</v>
      </c>
      <c r="E639" s="32">
        <v>45</v>
      </c>
      <c r="F639" s="32" t="s">
        <v>173</v>
      </c>
      <c r="G639" s="32">
        <v>7.1567999999999996</v>
      </c>
      <c r="H639" s="32">
        <v>2.1568000000000001</v>
      </c>
      <c r="I639" s="32" t="s">
        <v>174</v>
      </c>
      <c r="J639" s="32">
        <v>2</v>
      </c>
      <c r="K639" s="32" t="s">
        <v>183</v>
      </c>
      <c r="L639" s="18">
        <f t="shared" si="9"/>
        <v>999999999</v>
      </c>
    </row>
    <row r="640" spans="1:12" ht="15" customHeight="1" x14ac:dyDescent="0.25">
      <c r="A640" s="32" t="s">
        <v>186</v>
      </c>
      <c r="B640" s="32" t="s">
        <v>62</v>
      </c>
      <c r="C640" s="32" t="s">
        <v>154</v>
      </c>
      <c r="D640" s="32">
        <v>45.01</v>
      </c>
      <c r="E640" s="32">
        <v>45.5</v>
      </c>
      <c r="F640" s="32" t="s">
        <v>173</v>
      </c>
      <c r="G640" s="32">
        <v>7.1908000000000003</v>
      </c>
      <c r="H640" s="32">
        <v>3.1907999999999999</v>
      </c>
      <c r="I640" s="32" t="s">
        <v>174</v>
      </c>
      <c r="J640" s="32">
        <v>2</v>
      </c>
      <c r="K640" s="32" t="s">
        <v>183</v>
      </c>
      <c r="L640" s="18">
        <f t="shared" si="9"/>
        <v>999999999</v>
      </c>
    </row>
    <row r="641" spans="1:12" ht="15" customHeight="1" x14ac:dyDescent="0.25">
      <c r="A641" s="32" t="s">
        <v>186</v>
      </c>
      <c r="B641" s="32" t="s">
        <v>62</v>
      </c>
      <c r="C641" s="32" t="s">
        <v>154</v>
      </c>
      <c r="D641" s="32">
        <v>45.51</v>
      </c>
      <c r="E641" s="32">
        <v>46</v>
      </c>
      <c r="F641" s="32" t="s">
        <v>173</v>
      </c>
      <c r="G641" s="32">
        <v>7.2248000000000001</v>
      </c>
      <c r="H641" s="32">
        <v>2.2248000000000001</v>
      </c>
      <c r="I641" s="32" t="s">
        <v>174</v>
      </c>
      <c r="J641" s="32">
        <v>2</v>
      </c>
      <c r="K641" s="32" t="s">
        <v>183</v>
      </c>
      <c r="L641" s="18">
        <f t="shared" si="9"/>
        <v>999999999</v>
      </c>
    </row>
    <row r="642" spans="1:12" ht="15" customHeight="1" x14ac:dyDescent="0.25">
      <c r="A642" s="32" t="s">
        <v>186</v>
      </c>
      <c r="B642" s="32" t="s">
        <v>62</v>
      </c>
      <c r="C642" s="32" t="s">
        <v>154</v>
      </c>
      <c r="D642" s="32">
        <v>46.01</v>
      </c>
      <c r="E642" s="32">
        <v>46.5</v>
      </c>
      <c r="F642" s="32" t="s">
        <v>173</v>
      </c>
      <c r="G642" s="32">
        <v>7.2587999999999999</v>
      </c>
      <c r="H642" s="32">
        <v>3.2587999999999999</v>
      </c>
      <c r="I642" s="32" t="s">
        <v>174</v>
      </c>
      <c r="J642" s="32">
        <v>2</v>
      </c>
      <c r="K642" s="32" t="s">
        <v>183</v>
      </c>
      <c r="L642" s="18">
        <f t="shared" ref="L642:L705" si="10">IF(AND(B642=Quote_Port,D642&lt;=Quote_Weight,Quote_Weight&lt;=E642,OR(Quote_2Day="No",J642&lt;=2)),MAX(G642,Quote_Weight*H642)*Quote_USDINR,999999999)</f>
        <v>999999999</v>
      </c>
    </row>
    <row r="643" spans="1:12" ht="15" customHeight="1" x14ac:dyDescent="0.25">
      <c r="A643" s="32" t="s">
        <v>186</v>
      </c>
      <c r="B643" s="32" t="s">
        <v>62</v>
      </c>
      <c r="C643" s="32" t="s">
        <v>154</v>
      </c>
      <c r="D643" s="32">
        <v>46.51</v>
      </c>
      <c r="E643" s="32">
        <v>47</v>
      </c>
      <c r="F643" s="32" t="s">
        <v>173</v>
      </c>
      <c r="G643" s="32">
        <v>7.2927999999999997</v>
      </c>
      <c r="H643" s="32">
        <v>2.2928000000000002</v>
      </c>
      <c r="I643" s="32" t="s">
        <v>174</v>
      </c>
      <c r="J643" s="32">
        <v>2</v>
      </c>
      <c r="K643" s="32" t="s">
        <v>183</v>
      </c>
      <c r="L643" s="18">
        <f t="shared" si="10"/>
        <v>999999999</v>
      </c>
    </row>
    <row r="644" spans="1:12" ht="15" customHeight="1" x14ac:dyDescent="0.25">
      <c r="A644" s="32" t="s">
        <v>186</v>
      </c>
      <c r="B644" s="32" t="s">
        <v>62</v>
      </c>
      <c r="C644" s="32" t="s">
        <v>154</v>
      </c>
      <c r="D644" s="32">
        <v>47.01</v>
      </c>
      <c r="E644" s="32">
        <v>47.5</v>
      </c>
      <c r="F644" s="32" t="s">
        <v>173</v>
      </c>
      <c r="G644" s="32">
        <v>7.3268000000000004</v>
      </c>
      <c r="H644" s="32">
        <v>2.3268</v>
      </c>
      <c r="I644" s="32" t="s">
        <v>174</v>
      </c>
      <c r="J644" s="32">
        <v>2</v>
      </c>
      <c r="K644" s="32" t="s">
        <v>183</v>
      </c>
      <c r="L644" s="18">
        <f t="shared" si="10"/>
        <v>999999999</v>
      </c>
    </row>
    <row r="645" spans="1:12" ht="15" customHeight="1" x14ac:dyDescent="0.25">
      <c r="A645" s="32" t="s">
        <v>186</v>
      </c>
      <c r="B645" s="32" t="s">
        <v>62</v>
      </c>
      <c r="C645" s="32" t="s">
        <v>154</v>
      </c>
      <c r="D645" s="32">
        <v>47.51</v>
      </c>
      <c r="E645" s="32">
        <v>48</v>
      </c>
      <c r="F645" s="32" t="s">
        <v>173</v>
      </c>
      <c r="G645" s="32">
        <v>7.3608000000000002</v>
      </c>
      <c r="H645" s="32">
        <v>2.3607999999999998</v>
      </c>
      <c r="I645" s="32" t="s">
        <v>174</v>
      </c>
      <c r="J645" s="32">
        <v>2</v>
      </c>
      <c r="K645" s="32" t="s">
        <v>183</v>
      </c>
      <c r="L645" s="18">
        <f t="shared" si="10"/>
        <v>999999999</v>
      </c>
    </row>
    <row r="646" spans="1:12" ht="15" customHeight="1" x14ac:dyDescent="0.25">
      <c r="A646" s="32" t="s">
        <v>186</v>
      </c>
      <c r="B646" s="32" t="s">
        <v>62</v>
      </c>
      <c r="C646" s="32" t="s">
        <v>154</v>
      </c>
      <c r="D646" s="32">
        <v>48.01</v>
      </c>
      <c r="E646" s="32">
        <v>48.5</v>
      </c>
      <c r="F646" s="32" t="s">
        <v>173</v>
      </c>
      <c r="G646" s="32">
        <v>7.3948</v>
      </c>
      <c r="H646" s="32">
        <v>3.3948</v>
      </c>
      <c r="I646" s="32" t="s">
        <v>174</v>
      </c>
      <c r="J646" s="32">
        <v>2</v>
      </c>
      <c r="K646" s="32" t="s">
        <v>183</v>
      </c>
      <c r="L646" s="18">
        <f t="shared" si="10"/>
        <v>999999999</v>
      </c>
    </row>
    <row r="647" spans="1:12" ht="15" customHeight="1" x14ac:dyDescent="0.25">
      <c r="A647" s="32" t="s">
        <v>186</v>
      </c>
      <c r="B647" s="32" t="s">
        <v>62</v>
      </c>
      <c r="C647" s="32" t="s">
        <v>154</v>
      </c>
      <c r="D647" s="32">
        <v>48.51</v>
      </c>
      <c r="E647" s="32">
        <v>49</v>
      </c>
      <c r="F647" s="32" t="s">
        <v>173</v>
      </c>
      <c r="G647" s="32">
        <v>7.4287999999999998</v>
      </c>
      <c r="H647" s="32">
        <v>2.4287999999999998</v>
      </c>
      <c r="I647" s="32" t="s">
        <v>174</v>
      </c>
      <c r="J647" s="32">
        <v>2</v>
      </c>
      <c r="K647" s="32" t="s">
        <v>183</v>
      </c>
      <c r="L647" s="18">
        <f t="shared" si="10"/>
        <v>999999999</v>
      </c>
    </row>
    <row r="648" spans="1:12" ht="15" customHeight="1" x14ac:dyDescent="0.25">
      <c r="A648" s="32" t="s">
        <v>186</v>
      </c>
      <c r="B648" s="32" t="s">
        <v>62</v>
      </c>
      <c r="C648" s="32" t="s">
        <v>154</v>
      </c>
      <c r="D648" s="32">
        <v>49.01</v>
      </c>
      <c r="E648" s="32">
        <v>49.5</v>
      </c>
      <c r="F648" s="32" t="s">
        <v>173</v>
      </c>
      <c r="G648" s="32">
        <v>7.4627999999999997</v>
      </c>
      <c r="H648" s="32">
        <v>2.4628000000000001</v>
      </c>
      <c r="I648" s="32" t="s">
        <v>174</v>
      </c>
      <c r="J648" s="32">
        <v>2</v>
      </c>
      <c r="K648" s="32" t="s">
        <v>183</v>
      </c>
      <c r="L648" s="18">
        <f t="shared" si="10"/>
        <v>999999999</v>
      </c>
    </row>
    <row r="649" spans="1:12" ht="15" customHeight="1" x14ac:dyDescent="0.25">
      <c r="A649" s="32" t="s">
        <v>186</v>
      </c>
      <c r="B649" s="32" t="s">
        <v>62</v>
      </c>
      <c r="C649" s="32" t="s">
        <v>154</v>
      </c>
      <c r="D649" s="32">
        <v>49.51</v>
      </c>
      <c r="E649" s="32">
        <v>50</v>
      </c>
      <c r="F649" s="32" t="s">
        <v>173</v>
      </c>
      <c r="G649" s="32">
        <v>7.4968000000000004</v>
      </c>
      <c r="H649" s="32">
        <v>4.4968000000000004</v>
      </c>
      <c r="I649" s="32" t="s">
        <v>174</v>
      </c>
      <c r="J649" s="32">
        <v>2</v>
      </c>
      <c r="K649" s="32" t="s">
        <v>183</v>
      </c>
      <c r="L649" s="18">
        <f t="shared" si="10"/>
        <v>999999999</v>
      </c>
    </row>
    <row r="650" spans="1:12" ht="15" customHeight="1" x14ac:dyDescent="0.25">
      <c r="A650" s="32" t="s">
        <v>186</v>
      </c>
      <c r="B650" s="32" t="s">
        <v>62</v>
      </c>
      <c r="C650" s="32" t="s">
        <v>154</v>
      </c>
      <c r="D650" s="32">
        <v>50.01</v>
      </c>
      <c r="E650" s="32">
        <v>50.5</v>
      </c>
      <c r="F650" s="32" t="s">
        <v>173</v>
      </c>
      <c r="G650" s="32">
        <v>7.5308000000000002</v>
      </c>
      <c r="H650" s="32">
        <v>3.5308000000000002</v>
      </c>
      <c r="I650" s="32" t="s">
        <v>174</v>
      </c>
      <c r="J650" s="32">
        <v>2</v>
      </c>
      <c r="K650" s="32" t="s">
        <v>183</v>
      </c>
      <c r="L650" s="18">
        <f t="shared" si="10"/>
        <v>999999999</v>
      </c>
    </row>
    <row r="651" spans="1:12" ht="15" customHeight="1" x14ac:dyDescent="0.25">
      <c r="A651" s="32" t="s">
        <v>186</v>
      </c>
      <c r="B651" s="32" t="s">
        <v>62</v>
      </c>
      <c r="C651" s="32" t="s">
        <v>154</v>
      </c>
      <c r="D651" s="32">
        <v>50.51</v>
      </c>
      <c r="E651" s="32">
        <v>51</v>
      </c>
      <c r="F651" s="32" t="s">
        <v>173</v>
      </c>
      <c r="G651" s="32">
        <v>7.5648</v>
      </c>
      <c r="H651" s="32">
        <v>2.5648</v>
      </c>
      <c r="I651" s="32" t="s">
        <v>174</v>
      </c>
      <c r="J651" s="32">
        <v>2</v>
      </c>
      <c r="K651" s="32" t="s">
        <v>183</v>
      </c>
      <c r="L651" s="18">
        <f t="shared" si="10"/>
        <v>999999999</v>
      </c>
    </row>
    <row r="652" spans="1:12" ht="15" customHeight="1" x14ac:dyDescent="0.25">
      <c r="A652" s="32" t="s">
        <v>186</v>
      </c>
      <c r="B652" s="32" t="s">
        <v>62</v>
      </c>
      <c r="C652" s="32" t="s">
        <v>154</v>
      </c>
      <c r="D652" s="32">
        <v>51.01</v>
      </c>
      <c r="E652" s="32">
        <v>51.5</v>
      </c>
      <c r="F652" s="32" t="s">
        <v>173</v>
      </c>
      <c r="G652" s="32">
        <v>7.5987999999999998</v>
      </c>
      <c r="H652" s="32">
        <v>4.5987999999999998</v>
      </c>
      <c r="I652" s="32" t="s">
        <v>174</v>
      </c>
      <c r="J652" s="32">
        <v>2</v>
      </c>
      <c r="K652" s="32" t="s">
        <v>183</v>
      </c>
      <c r="L652" s="18">
        <f t="shared" si="10"/>
        <v>999999999</v>
      </c>
    </row>
    <row r="653" spans="1:12" ht="15" customHeight="1" x14ac:dyDescent="0.25">
      <c r="A653" s="32" t="s">
        <v>186</v>
      </c>
      <c r="B653" s="32" t="s">
        <v>62</v>
      </c>
      <c r="C653" s="32" t="s">
        <v>154</v>
      </c>
      <c r="D653" s="32">
        <v>51.51</v>
      </c>
      <c r="E653" s="32">
        <v>52</v>
      </c>
      <c r="F653" s="32" t="s">
        <v>173</v>
      </c>
      <c r="G653" s="32">
        <v>7.6327999999999996</v>
      </c>
      <c r="H653" s="32">
        <v>4.6327999999999996</v>
      </c>
      <c r="I653" s="32" t="s">
        <v>174</v>
      </c>
      <c r="J653" s="32">
        <v>2</v>
      </c>
      <c r="K653" s="32" t="s">
        <v>183</v>
      </c>
      <c r="L653" s="18">
        <f t="shared" si="10"/>
        <v>999999999</v>
      </c>
    </row>
    <row r="654" spans="1:12" ht="15" customHeight="1" x14ac:dyDescent="0.25">
      <c r="A654" s="32" t="s">
        <v>186</v>
      </c>
      <c r="B654" s="32" t="s">
        <v>62</v>
      </c>
      <c r="C654" s="32" t="s">
        <v>154</v>
      </c>
      <c r="D654" s="32">
        <v>52.01</v>
      </c>
      <c r="E654" s="32">
        <v>52.5</v>
      </c>
      <c r="F654" s="32" t="s">
        <v>173</v>
      </c>
      <c r="G654" s="32">
        <v>7.6668000000000003</v>
      </c>
      <c r="H654" s="32">
        <v>2.6667999999999998</v>
      </c>
      <c r="I654" s="32" t="s">
        <v>174</v>
      </c>
      <c r="J654" s="32">
        <v>2</v>
      </c>
      <c r="K654" s="32" t="s">
        <v>183</v>
      </c>
      <c r="L654" s="18">
        <f t="shared" si="10"/>
        <v>999999999</v>
      </c>
    </row>
    <row r="655" spans="1:12" ht="15" customHeight="1" x14ac:dyDescent="0.25">
      <c r="A655" s="32" t="s">
        <v>186</v>
      </c>
      <c r="B655" s="32" t="s">
        <v>62</v>
      </c>
      <c r="C655" s="32" t="s">
        <v>154</v>
      </c>
      <c r="D655" s="32">
        <v>52.51</v>
      </c>
      <c r="E655" s="32">
        <v>53</v>
      </c>
      <c r="F655" s="32" t="s">
        <v>173</v>
      </c>
      <c r="G655" s="32">
        <v>7.7008000000000001</v>
      </c>
      <c r="H655" s="32">
        <v>4.7008000000000001</v>
      </c>
      <c r="I655" s="32" t="s">
        <v>174</v>
      </c>
      <c r="J655" s="32">
        <v>2</v>
      </c>
      <c r="K655" s="32" t="s">
        <v>183</v>
      </c>
      <c r="L655" s="18">
        <f t="shared" si="10"/>
        <v>999999999</v>
      </c>
    </row>
    <row r="656" spans="1:12" ht="15" customHeight="1" x14ac:dyDescent="0.25">
      <c r="A656" s="32" t="s">
        <v>186</v>
      </c>
      <c r="B656" s="32" t="s">
        <v>62</v>
      </c>
      <c r="C656" s="32" t="s">
        <v>154</v>
      </c>
      <c r="D656" s="32">
        <v>53.01</v>
      </c>
      <c r="E656" s="32">
        <v>53.5</v>
      </c>
      <c r="F656" s="32" t="s">
        <v>173</v>
      </c>
      <c r="G656" s="32">
        <v>7.7347999999999999</v>
      </c>
      <c r="H656" s="32">
        <v>2.7347999999999999</v>
      </c>
      <c r="I656" s="32" t="s">
        <v>174</v>
      </c>
      <c r="J656" s="32">
        <v>2</v>
      </c>
      <c r="K656" s="32" t="s">
        <v>183</v>
      </c>
      <c r="L656" s="18">
        <f t="shared" si="10"/>
        <v>999999999</v>
      </c>
    </row>
    <row r="657" spans="1:12" ht="15" customHeight="1" x14ac:dyDescent="0.25">
      <c r="A657" s="32" t="s">
        <v>186</v>
      </c>
      <c r="B657" s="32" t="s">
        <v>62</v>
      </c>
      <c r="C657" s="32" t="s">
        <v>154</v>
      </c>
      <c r="D657" s="32">
        <v>53.51</v>
      </c>
      <c r="E657" s="32">
        <v>54</v>
      </c>
      <c r="F657" s="32" t="s">
        <v>173</v>
      </c>
      <c r="G657" s="32">
        <v>7.7687999999999997</v>
      </c>
      <c r="H657" s="32">
        <v>3.7688000000000001</v>
      </c>
      <c r="I657" s="32" t="s">
        <v>174</v>
      </c>
      <c r="J657" s="32">
        <v>2</v>
      </c>
      <c r="K657" s="32" t="s">
        <v>183</v>
      </c>
      <c r="L657" s="18">
        <f t="shared" si="10"/>
        <v>999999999</v>
      </c>
    </row>
    <row r="658" spans="1:12" ht="15" customHeight="1" x14ac:dyDescent="0.25">
      <c r="A658" s="32" t="s">
        <v>186</v>
      </c>
      <c r="B658" s="32" t="s">
        <v>62</v>
      </c>
      <c r="C658" s="32" t="s">
        <v>154</v>
      </c>
      <c r="D658" s="32">
        <v>54.01</v>
      </c>
      <c r="E658" s="32">
        <v>54.5</v>
      </c>
      <c r="F658" s="32" t="s">
        <v>173</v>
      </c>
      <c r="G658" s="32">
        <v>7.8028000000000004</v>
      </c>
      <c r="H658" s="32">
        <v>2.8028</v>
      </c>
      <c r="I658" s="32" t="s">
        <v>174</v>
      </c>
      <c r="J658" s="32">
        <v>2</v>
      </c>
      <c r="K658" s="32" t="s">
        <v>183</v>
      </c>
      <c r="L658" s="18">
        <f t="shared" si="10"/>
        <v>999999999</v>
      </c>
    </row>
    <row r="659" spans="1:12" ht="15" customHeight="1" x14ac:dyDescent="0.25">
      <c r="A659" s="32" t="s">
        <v>186</v>
      </c>
      <c r="B659" s="32" t="s">
        <v>62</v>
      </c>
      <c r="C659" s="32" t="s">
        <v>154</v>
      </c>
      <c r="D659" s="32">
        <v>54.51</v>
      </c>
      <c r="E659" s="32">
        <v>55</v>
      </c>
      <c r="F659" s="32" t="s">
        <v>173</v>
      </c>
      <c r="G659" s="32">
        <v>7.8368000000000002</v>
      </c>
      <c r="H659" s="32">
        <v>4.8368000000000002</v>
      </c>
      <c r="I659" s="32" t="s">
        <v>174</v>
      </c>
      <c r="J659" s="32">
        <v>2</v>
      </c>
      <c r="K659" s="32" t="s">
        <v>183</v>
      </c>
      <c r="L659" s="18">
        <f t="shared" si="10"/>
        <v>999999999</v>
      </c>
    </row>
    <row r="660" spans="1:12" ht="15" customHeight="1" x14ac:dyDescent="0.25">
      <c r="A660" s="32" t="s">
        <v>186</v>
      </c>
      <c r="B660" s="32" t="s">
        <v>62</v>
      </c>
      <c r="C660" s="32" t="s">
        <v>154</v>
      </c>
      <c r="D660" s="32">
        <v>55.01</v>
      </c>
      <c r="E660" s="32">
        <v>55.5</v>
      </c>
      <c r="F660" s="32" t="s">
        <v>173</v>
      </c>
      <c r="G660" s="32">
        <v>7.8708</v>
      </c>
      <c r="H660" s="32">
        <v>2.8708</v>
      </c>
      <c r="I660" s="32" t="s">
        <v>174</v>
      </c>
      <c r="J660" s="32">
        <v>2</v>
      </c>
      <c r="K660" s="32" t="s">
        <v>183</v>
      </c>
      <c r="L660" s="18">
        <f t="shared" si="10"/>
        <v>999999999</v>
      </c>
    </row>
    <row r="661" spans="1:12" ht="15" customHeight="1" x14ac:dyDescent="0.25">
      <c r="A661" s="32" t="s">
        <v>186</v>
      </c>
      <c r="B661" s="32" t="s">
        <v>62</v>
      </c>
      <c r="C661" s="32" t="s">
        <v>154</v>
      </c>
      <c r="D661" s="32">
        <v>55.51</v>
      </c>
      <c r="E661" s="32">
        <v>56</v>
      </c>
      <c r="F661" s="32" t="s">
        <v>173</v>
      </c>
      <c r="G661" s="32">
        <v>7.9047999999999998</v>
      </c>
      <c r="H661" s="32">
        <v>3.9047999999999998</v>
      </c>
      <c r="I661" s="32" t="s">
        <v>174</v>
      </c>
      <c r="J661" s="32">
        <v>2</v>
      </c>
      <c r="K661" s="32" t="s">
        <v>183</v>
      </c>
      <c r="L661" s="18">
        <f t="shared" si="10"/>
        <v>999999999</v>
      </c>
    </row>
    <row r="662" spans="1:12" ht="15" customHeight="1" x14ac:dyDescent="0.25">
      <c r="A662" s="32" t="s">
        <v>186</v>
      </c>
      <c r="B662" s="32" t="s">
        <v>62</v>
      </c>
      <c r="C662" s="32" t="s">
        <v>154</v>
      </c>
      <c r="D662" s="32">
        <v>56.01</v>
      </c>
      <c r="E662" s="32">
        <v>56.5</v>
      </c>
      <c r="F662" s="32" t="s">
        <v>173</v>
      </c>
      <c r="G662" s="32">
        <v>7.9387999999999996</v>
      </c>
      <c r="H662" s="32">
        <v>2.9388000000000001</v>
      </c>
      <c r="I662" s="32" t="s">
        <v>174</v>
      </c>
      <c r="J662" s="32">
        <v>2</v>
      </c>
      <c r="K662" s="32" t="s">
        <v>183</v>
      </c>
      <c r="L662" s="18">
        <f t="shared" si="10"/>
        <v>999999999</v>
      </c>
    </row>
    <row r="663" spans="1:12" ht="15" customHeight="1" x14ac:dyDescent="0.25">
      <c r="A663" s="32" t="s">
        <v>186</v>
      </c>
      <c r="B663" s="32" t="s">
        <v>62</v>
      </c>
      <c r="C663" s="32" t="s">
        <v>154</v>
      </c>
      <c r="D663" s="32">
        <v>56.51</v>
      </c>
      <c r="E663" s="32">
        <v>57</v>
      </c>
      <c r="F663" s="32" t="s">
        <v>173</v>
      </c>
      <c r="G663" s="32">
        <v>7.9728000000000003</v>
      </c>
      <c r="H663" s="32">
        <v>3.9727999999999999</v>
      </c>
      <c r="I663" s="32" t="s">
        <v>174</v>
      </c>
      <c r="J663" s="32">
        <v>2</v>
      </c>
      <c r="K663" s="32" t="s">
        <v>183</v>
      </c>
      <c r="L663" s="18">
        <f t="shared" si="10"/>
        <v>999999999</v>
      </c>
    </row>
    <row r="664" spans="1:12" ht="15" customHeight="1" x14ac:dyDescent="0.25">
      <c r="A664" s="32" t="s">
        <v>186</v>
      </c>
      <c r="B664" s="32" t="s">
        <v>62</v>
      </c>
      <c r="C664" s="32" t="s">
        <v>154</v>
      </c>
      <c r="D664" s="32">
        <v>57.01</v>
      </c>
      <c r="E664" s="32">
        <v>57.5</v>
      </c>
      <c r="F664" s="32" t="s">
        <v>173</v>
      </c>
      <c r="G664" s="32">
        <v>9.0068000000000001</v>
      </c>
      <c r="H664" s="32">
        <v>6.0068000000000001</v>
      </c>
      <c r="I664" s="32" t="s">
        <v>174</v>
      </c>
      <c r="J664" s="32">
        <v>2</v>
      </c>
      <c r="K664" s="32" t="s">
        <v>183</v>
      </c>
      <c r="L664" s="18">
        <f t="shared" si="10"/>
        <v>999999999</v>
      </c>
    </row>
    <row r="665" spans="1:12" ht="15" customHeight="1" x14ac:dyDescent="0.25">
      <c r="A665" s="32" t="s">
        <v>186</v>
      </c>
      <c r="B665" s="32" t="s">
        <v>62</v>
      </c>
      <c r="C665" s="32" t="s">
        <v>154</v>
      </c>
      <c r="D665" s="32">
        <v>57.51</v>
      </c>
      <c r="E665" s="32">
        <v>58</v>
      </c>
      <c r="F665" s="32" t="s">
        <v>173</v>
      </c>
      <c r="G665" s="32">
        <v>9.0408000000000008</v>
      </c>
      <c r="H665" s="32">
        <v>4.0407999999999999</v>
      </c>
      <c r="I665" s="32" t="s">
        <v>174</v>
      </c>
      <c r="J665" s="32">
        <v>2</v>
      </c>
      <c r="K665" s="32" t="s">
        <v>183</v>
      </c>
      <c r="L665" s="18">
        <f t="shared" si="10"/>
        <v>999999999</v>
      </c>
    </row>
    <row r="666" spans="1:12" ht="15" customHeight="1" x14ac:dyDescent="0.25">
      <c r="A666" s="32" t="s">
        <v>186</v>
      </c>
      <c r="B666" s="32" t="s">
        <v>62</v>
      </c>
      <c r="C666" s="32" t="s">
        <v>154</v>
      </c>
      <c r="D666" s="32">
        <v>58.01</v>
      </c>
      <c r="E666" s="32">
        <v>58.5</v>
      </c>
      <c r="F666" s="32" t="s">
        <v>173</v>
      </c>
      <c r="G666" s="32">
        <v>9.0747999999999998</v>
      </c>
      <c r="H666" s="32">
        <v>5.0747999999999998</v>
      </c>
      <c r="I666" s="32" t="s">
        <v>174</v>
      </c>
      <c r="J666" s="32">
        <v>2</v>
      </c>
      <c r="K666" s="32" t="s">
        <v>183</v>
      </c>
      <c r="L666" s="18">
        <f t="shared" si="10"/>
        <v>999999999</v>
      </c>
    </row>
    <row r="667" spans="1:12" ht="15" customHeight="1" x14ac:dyDescent="0.25">
      <c r="A667" s="32" t="s">
        <v>186</v>
      </c>
      <c r="B667" s="32" t="s">
        <v>62</v>
      </c>
      <c r="C667" s="32" t="s">
        <v>154</v>
      </c>
      <c r="D667" s="32">
        <v>58.51</v>
      </c>
      <c r="E667" s="32">
        <v>59</v>
      </c>
      <c r="F667" s="32" t="s">
        <v>173</v>
      </c>
      <c r="G667" s="32">
        <v>9.1088000000000005</v>
      </c>
      <c r="H667" s="32">
        <v>5.1087999999999996</v>
      </c>
      <c r="I667" s="32" t="s">
        <v>174</v>
      </c>
      <c r="J667" s="32">
        <v>2</v>
      </c>
      <c r="K667" s="32" t="s">
        <v>183</v>
      </c>
      <c r="L667" s="18">
        <f t="shared" si="10"/>
        <v>999999999</v>
      </c>
    </row>
    <row r="668" spans="1:12" ht="15" customHeight="1" x14ac:dyDescent="0.25">
      <c r="A668" s="32" t="s">
        <v>186</v>
      </c>
      <c r="B668" s="32" t="s">
        <v>62</v>
      </c>
      <c r="C668" s="32" t="s">
        <v>154</v>
      </c>
      <c r="D668" s="32">
        <v>59.01</v>
      </c>
      <c r="E668" s="32">
        <v>59.5</v>
      </c>
      <c r="F668" s="32" t="s">
        <v>173</v>
      </c>
      <c r="G668" s="32">
        <v>9.1427999999999994</v>
      </c>
      <c r="H668" s="32">
        <v>3.1427999999999998</v>
      </c>
      <c r="I668" s="32" t="s">
        <v>174</v>
      </c>
      <c r="J668" s="32">
        <v>2</v>
      </c>
      <c r="K668" s="32" t="s">
        <v>183</v>
      </c>
      <c r="L668" s="18">
        <f t="shared" si="10"/>
        <v>999999999</v>
      </c>
    </row>
    <row r="669" spans="1:12" ht="15" customHeight="1" x14ac:dyDescent="0.25">
      <c r="A669" s="32" t="s">
        <v>186</v>
      </c>
      <c r="B669" s="32" t="s">
        <v>62</v>
      </c>
      <c r="C669" s="32" t="s">
        <v>154</v>
      </c>
      <c r="D669" s="32">
        <v>59.51</v>
      </c>
      <c r="E669" s="32">
        <v>60</v>
      </c>
      <c r="F669" s="32" t="s">
        <v>173</v>
      </c>
      <c r="G669" s="32">
        <v>9.1768000000000001</v>
      </c>
      <c r="H669" s="32">
        <v>6.1768000000000001</v>
      </c>
      <c r="I669" s="32" t="s">
        <v>174</v>
      </c>
      <c r="J669" s="32">
        <v>2</v>
      </c>
      <c r="K669" s="32" t="s">
        <v>183</v>
      </c>
      <c r="L669" s="18">
        <f t="shared" si="10"/>
        <v>999999999</v>
      </c>
    </row>
    <row r="670" spans="1:12" ht="15" customHeight="1" x14ac:dyDescent="0.25">
      <c r="A670" s="32" t="s">
        <v>186</v>
      </c>
      <c r="B670" s="32" t="s">
        <v>62</v>
      </c>
      <c r="C670" s="32" t="s">
        <v>154</v>
      </c>
      <c r="D670" s="32">
        <v>60.01</v>
      </c>
      <c r="E670" s="32">
        <v>60.5</v>
      </c>
      <c r="F670" s="32" t="s">
        <v>173</v>
      </c>
      <c r="G670" s="32">
        <v>9.2108000000000008</v>
      </c>
      <c r="H670" s="32">
        <v>3.2107999999999999</v>
      </c>
      <c r="I670" s="32" t="s">
        <v>174</v>
      </c>
      <c r="J670" s="32">
        <v>2</v>
      </c>
      <c r="K670" s="32" t="s">
        <v>183</v>
      </c>
      <c r="L670" s="18">
        <f t="shared" si="10"/>
        <v>999999999</v>
      </c>
    </row>
    <row r="671" spans="1:12" ht="15" customHeight="1" x14ac:dyDescent="0.25">
      <c r="A671" s="32" t="s">
        <v>186</v>
      </c>
      <c r="B671" s="32" t="s">
        <v>62</v>
      </c>
      <c r="C671" s="32" t="s">
        <v>154</v>
      </c>
      <c r="D671" s="32">
        <v>60.51</v>
      </c>
      <c r="E671" s="32">
        <v>61</v>
      </c>
      <c r="F671" s="32" t="s">
        <v>173</v>
      </c>
      <c r="G671" s="32">
        <v>9.2447999999999997</v>
      </c>
      <c r="H671" s="32">
        <v>5.2447999999999997</v>
      </c>
      <c r="I671" s="32" t="s">
        <v>174</v>
      </c>
      <c r="J671" s="32">
        <v>2</v>
      </c>
      <c r="K671" s="32" t="s">
        <v>183</v>
      </c>
      <c r="L671" s="18">
        <f t="shared" si="10"/>
        <v>999999999</v>
      </c>
    </row>
    <row r="672" spans="1:12" ht="15" customHeight="1" x14ac:dyDescent="0.25">
      <c r="A672" s="32" t="s">
        <v>186</v>
      </c>
      <c r="B672" s="32" t="s">
        <v>62</v>
      </c>
      <c r="C672" s="32" t="s">
        <v>154</v>
      </c>
      <c r="D672" s="32">
        <v>61.01</v>
      </c>
      <c r="E672" s="32">
        <v>61.5</v>
      </c>
      <c r="F672" s="32" t="s">
        <v>173</v>
      </c>
      <c r="G672" s="32">
        <v>9.2788000000000004</v>
      </c>
      <c r="H672" s="32">
        <v>6.2788000000000004</v>
      </c>
      <c r="I672" s="32" t="s">
        <v>174</v>
      </c>
      <c r="J672" s="32">
        <v>2</v>
      </c>
      <c r="K672" s="32" t="s">
        <v>183</v>
      </c>
      <c r="L672" s="18">
        <f t="shared" si="10"/>
        <v>999999999</v>
      </c>
    </row>
    <row r="673" spans="1:12" ht="15" customHeight="1" x14ac:dyDescent="0.25">
      <c r="A673" s="32" t="s">
        <v>186</v>
      </c>
      <c r="B673" s="32" t="s">
        <v>62</v>
      </c>
      <c r="C673" s="32" t="s">
        <v>154</v>
      </c>
      <c r="D673" s="32">
        <v>61.51</v>
      </c>
      <c r="E673" s="32">
        <v>62</v>
      </c>
      <c r="F673" s="32" t="s">
        <v>173</v>
      </c>
      <c r="G673" s="32">
        <v>9.3127999999999993</v>
      </c>
      <c r="H673" s="32">
        <v>2.3128000000000002</v>
      </c>
      <c r="I673" s="32" t="s">
        <v>174</v>
      </c>
      <c r="J673" s="32">
        <v>2</v>
      </c>
      <c r="K673" s="32" t="s">
        <v>183</v>
      </c>
      <c r="L673" s="18">
        <f t="shared" si="10"/>
        <v>999999999</v>
      </c>
    </row>
    <row r="674" spans="1:12" ht="15" customHeight="1" x14ac:dyDescent="0.25">
      <c r="A674" s="32" t="s">
        <v>186</v>
      </c>
      <c r="B674" s="32" t="s">
        <v>62</v>
      </c>
      <c r="C674" s="32" t="s">
        <v>154</v>
      </c>
      <c r="D674" s="32">
        <v>62.01</v>
      </c>
      <c r="E674" s="32">
        <v>62.5</v>
      </c>
      <c r="F674" s="32" t="s">
        <v>173</v>
      </c>
      <c r="G674" s="32">
        <v>9.3468</v>
      </c>
      <c r="H674" s="32">
        <v>3.3468</v>
      </c>
      <c r="I674" s="32" t="s">
        <v>174</v>
      </c>
      <c r="J674" s="32">
        <v>2</v>
      </c>
      <c r="K674" s="32" t="s">
        <v>183</v>
      </c>
      <c r="L674" s="18">
        <f t="shared" si="10"/>
        <v>999999999</v>
      </c>
    </row>
    <row r="675" spans="1:12" ht="15" customHeight="1" x14ac:dyDescent="0.25">
      <c r="A675" s="32" t="s">
        <v>186</v>
      </c>
      <c r="B675" s="32" t="s">
        <v>62</v>
      </c>
      <c r="C675" s="32" t="s">
        <v>154</v>
      </c>
      <c r="D675" s="32">
        <v>62.51</v>
      </c>
      <c r="E675" s="32">
        <v>63</v>
      </c>
      <c r="F675" s="32" t="s">
        <v>173</v>
      </c>
      <c r="G675" s="32">
        <v>9.3808000000000007</v>
      </c>
      <c r="H675" s="32">
        <v>2.3807999999999998</v>
      </c>
      <c r="I675" s="32" t="s">
        <v>174</v>
      </c>
      <c r="J675" s="32">
        <v>2</v>
      </c>
      <c r="K675" s="32" t="s">
        <v>183</v>
      </c>
      <c r="L675" s="18">
        <f t="shared" si="10"/>
        <v>999999999</v>
      </c>
    </row>
    <row r="676" spans="1:12" ht="15" customHeight="1" x14ac:dyDescent="0.25">
      <c r="A676" s="32" t="s">
        <v>186</v>
      </c>
      <c r="B676" s="32" t="s">
        <v>62</v>
      </c>
      <c r="C676" s="32" t="s">
        <v>154</v>
      </c>
      <c r="D676" s="32">
        <v>63.01</v>
      </c>
      <c r="E676" s="32">
        <v>63.5</v>
      </c>
      <c r="F676" s="32" t="s">
        <v>173</v>
      </c>
      <c r="G676" s="32">
        <v>9.4147999999999996</v>
      </c>
      <c r="H676" s="32">
        <v>2.4148000000000001</v>
      </c>
      <c r="I676" s="32" t="s">
        <v>174</v>
      </c>
      <c r="J676" s="32">
        <v>2</v>
      </c>
      <c r="K676" s="32" t="s">
        <v>183</v>
      </c>
      <c r="L676" s="18">
        <f t="shared" si="10"/>
        <v>999999999</v>
      </c>
    </row>
    <row r="677" spans="1:12" ht="15" customHeight="1" x14ac:dyDescent="0.25">
      <c r="A677" s="32" t="s">
        <v>186</v>
      </c>
      <c r="B677" s="32" t="s">
        <v>62</v>
      </c>
      <c r="C677" s="32" t="s">
        <v>154</v>
      </c>
      <c r="D677" s="32">
        <v>63.51</v>
      </c>
      <c r="E677" s="32">
        <v>64</v>
      </c>
      <c r="F677" s="32" t="s">
        <v>173</v>
      </c>
      <c r="G677" s="32">
        <v>9.4488000000000003</v>
      </c>
      <c r="H677" s="32">
        <v>6.4488000000000003</v>
      </c>
      <c r="I677" s="32" t="s">
        <v>174</v>
      </c>
      <c r="J677" s="32">
        <v>2</v>
      </c>
      <c r="K677" s="32" t="s">
        <v>183</v>
      </c>
      <c r="L677" s="18">
        <f t="shared" si="10"/>
        <v>999999999</v>
      </c>
    </row>
    <row r="678" spans="1:12" ht="15" customHeight="1" x14ac:dyDescent="0.25">
      <c r="A678" s="32" t="s">
        <v>186</v>
      </c>
      <c r="B678" s="32" t="s">
        <v>62</v>
      </c>
      <c r="C678" s="32" t="s">
        <v>154</v>
      </c>
      <c r="D678" s="32">
        <v>64.010000000000005</v>
      </c>
      <c r="E678" s="32">
        <v>64.5</v>
      </c>
      <c r="F678" s="32" t="s">
        <v>173</v>
      </c>
      <c r="G678" s="32">
        <v>9.4827999999999992</v>
      </c>
      <c r="H678" s="32">
        <v>6.4828000000000001</v>
      </c>
      <c r="I678" s="32" t="s">
        <v>174</v>
      </c>
      <c r="J678" s="32">
        <v>2</v>
      </c>
      <c r="K678" s="32" t="s">
        <v>183</v>
      </c>
      <c r="L678" s="18">
        <f t="shared" si="10"/>
        <v>999999999</v>
      </c>
    </row>
    <row r="679" spans="1:12" ht="15" customHeight="1" x14ac:dyDescent="0.25">
      <c r="A679" s="32" t="s">
        <v>186</v>
      </c>
      <c r="B679" s="32" t="s">
        <v>62</v>
      </c>
      <c r="C679" s="32" t="s">
        <v>154</v>
      </c>
      <c r="D679" s="32">
        <v>64.510000000000005</v>
      </c>
      <c r="E679" s="32">
        <v>65</v>
      </c>
      <c r="F679" s="32" t="s">
        <v>173</v>
      </c>
      <c r="G679" s="32">
        <v>9.5167999999999999</v>
      </c>
      <c r="H679" s="32">
        <v>4.5167999999999999</v>
      </c>
      <c r="I679" s="32" t="s">
        <v>174</v>
      </c>
      <c r="J679" s="32">
        <v>2</v>
      </c>
      <c r="K679" s="32" t="s">
        <v>183</v>
      </c>
      <c r="L679" s="18">
        <f t="shared" si="10"/>
        <v>999999999</v>
      </c>
    </row>
    <row r="680" spans="1:12" ht="15" customHeight="1" x14ac:dyDescent="0.25">
      <c r="A680" s="32" t="s">
        <v>186</v>
      </c>
      <c r="B680" s="32" t="s">
        <v>62</v>
      </c>
      <c r="C680" s="32" t="s">
        <v>154</v>
      </c>
      <c r="D680" s="32">
        <v>65.010000000000005</v>
      </c>
      <c r="E680" s="32">
        <v>65.5</v>
      </c>
      <c r="F680" s="32" t="s">
        <v>173</v>
      </c>
      <c r="G680" s="32">
        <v>9.5508000000000006</v>
      </c>
      <c r="H680" s="32">
        <v>6.5507999999999997</v>
      </c>
      <c r="I680" s="32" t="s">
        <v>174</v>
      </c>
      <c r="J680" s="32">
        <v>2</v>
      </c>
      <c r="K680" s="32" t="s">
        <v>183</v>
      </c>
      <c r="L680" s="18">
        <f t="shared" si="10"/>
        <v>999999999</v>
      </c>
    </row>
    <row r="681" spans="1:12" ht="15" customHeight="1" x14ac:dyDescent="0.25">
      <c r="A681" s="32" t="s">
        <v>186</v>
      </c>
      <c r="B681" s="32" t="s">
        <v>62</v>
      </c>
      <c r="C681" s="32" t="s">
        <v>154</v>
      </c>
      <c r="D681" s="32">
        <v>65.510000000000005</v>
      </c>
      <c r="E681" s="32">
        <v>66</v>
      </c>
      <c r="F681" s="32" t="s">
        <v>173</v>
      </c>
      <c r="G681" s="32">
        <v>9.5847999999999995</v>
      </c>
      <c r="H681" s="32">
        <v>4.5848000000000004</v>
      </c>
      <c r="I681" s="32" t="s">
        <v>174</v>
      </c>
      <c r="J681" s="32">
        <v>2</v>
      </c>
      <c r="K681" s="32" t="s">
        <v>183</v>
      </c>
      <c r="L681" s="18">
        <f t="shared" si="10"/>
        <v>999999999</v>
      </c>
    </row>
    <row r="682" spans="1:12" ht="15" customHeight="1" x14ac:dyDescent="0.25">
      <c r="A682" s="32" t="s">
        <v>186</v>
      </c>
      <c r="B682" s="32" t="s">
        <v>62</v>
      </c>
      <c r="C682" s="32" t="s">
        <v>154</v>
      </c>
      <c r="D682" s="32">
        <v>66.010000000000005</v>
      </c>
      <c r="E682" s="32">
        <v>66.5</v>
      </c>
      <c r="F682" s="32" t="s">
        <v>173</v>
      </c>
      <c r="G682" s="32">
        <v>9.6188000000000002</v>
      </c>
      <c r="H682" s="32">
        <v>4.6188000000000002</v>
      </c>
      <c r="I682" s="32" t="s">
        <v>174</v>
      </c>
      <c r="J682" s="32">
        <v>2</v>
      </c>
      <c r="K682" s="32" t="s">
        <v>183</v>
      </c>
      <c r="L682" s="18">
        <f t="shared" si="10"/>
        <v>999999999</v>
      </c>
    </row>
    <row r="683" spans="1:12" ht="15" customHeight="1" x14ac:dyDescent="0.25">
      <c r="A683" s="32" t="s">
        <v>186</v>
      </c>
      <c r="B683" s="32" t="s">
        <v>62</v>
      </c>
      <c r="C683" s="32" t="s">
        <v>154</v>
      </c>
      <c r="D683" s="32">
        <v>66.510000000000005</v>
      </c>
      <c r="E683" s="32">
        <v>67</v>
      </c>
      <c r="F683" s="32" t="s">
        <v>173</v>
      </c>
      <c r="G683" s="32">
        <v>9.6527999999999992</v>
      </c>
      <c r="H683" s="32">
        <v>6.6528</v>
      </c>
      <c r="I683" s="32" t="s">
        <v>174</v>
      </c>
      <c r="J683" s="32">
        <v>2</v>
      </c>
      <c r="K683" s="32" t="s">
        <v>183</v>
      </c>
      <c r="L683" s="18">
        <f t="shared" si="10"/>
        <v>999999999</v>
      </c>
    </row>
    <row r="684" spans="1:12" ht="15" customHeight="1" x14ac:dyDescent="0.25">
      <c r="A684" s="32" t="s">
        <v>186</v>
      </c>
      <c r="B684" s="32" t="s">
        <v>62</v>
      </c>
      <c r="C684" s="32" t="s">
        <v>154</v>
      </c>
      <c r="D684" s="32">
        <v>67.010000000000005</v>
      </c>
      <c r="E684" s="32">
        <v>67.5</v>
      </c>
      <c r="F684" s="32" t="s">
        <v>173</v>
      </c>
      <c r="G684" s="32">
        <v>9.6867999999999999</v>
      </c>
      <c r="H684" s="32">
        <v>5.6867999999999999</v>
      </c>
      <c r="I684" s="32" t="s">
        <v>174</v>
      </c>
      <c r="J684" s="32">
        <v>2</v>
      </c>
      <c r="K684" s="32" t="s">
        <v>183</v>
      </c>
      <c r="L684" s="18">
        <f t="shared" si="10"/>
        <v>999999999</v>
      </c>
    </row>
    <row r="685" spans="1:12" ht="15" customHeight="1" x14ac:dyDescent="0.25">
      <c r="A685" s="32" t="s">
        <v>186</v>
      </c>
      <c r="B685" s="32" t="s">
        <v>62</v>
      </c>
      <c r="C685" s="32" t="s">
        <v>154</v>
      </c>
      <c r="D685" s="32">
        <v>67.510000000000005</v>
      </c>
      <c r="E685" s="32">
        <v>68</v>
      </c>
      <c r="F685" s="32" t="s">
        <v>173</v>
      </c>
      <c r="G685" s="32">
        <v>9.7208000000000006</v>
      </c>
      <c r="H685" s="32">
        <v>4.7207999999999997</v>
      </c>
      <c r="I685" s="32" t="s">
        <v>174</v>
      </c>
      <c r="J685" s="32">
        <v>2</v>
      </c>
      <c r="K685" s="32" t="s">
        <v>183</v>
      </c>
      <c r="L685" s="18">
        <f t="shared" si="10"/>
        <v>999999999</v>
      </c>
    </row>
    <row r="686" spans="1:12" ht="15" customHeight="1" x14ac:dyDescent="0.25">
      <c r="A686" s="32" t="s">
        <v>186</v>
      </c>
      <c r="B686" s="32" t="s">
        <v>62</v>
      </c>
      <c r="C686" s="32" t="s">
        <v>154</v>
      </c>
      <c r="D686" s="32">
        <v>68.010000000000005</v>
      </c>
      <c r="E686" s="32">
        <v>68.5</v>
      </c>
      <c r="F686" s="32" t="s">
        <v>173</v>
      </c>
      <c r="G686" s="32">
        <v>9.7547999999999995</v>
      </c>
      <c r="H686" s="32">
        <v>6.7548000000000004</v>
      </c>
      <c r="I686" s="32" t="s">
        <v>174</v>
      </c>
      <c r="J686" s="32">
        <v>2</v>
      </c>
      <c r="K686" s="32" t="s">
        <v>183</v>
      </c>
      <c r="L686" s="18">
        <f t="shared" si="10"/>
        <v>999999999</v>
      </c>
    </row>
    <row r="687" spans="1:12" ht="15" customHeight="1" x14ac:dyDescent="0.25">
      <c r="A687" s="32" t="s">
        <v>186</v>
      </c>
      <c r="B687" s="32" t="s">
        <v>62</v>
      </c>
      <c r="C687" s="32" t="s">
        <v>154</v>
      </c>
      <c r="D687" s="32">
        <v>68.510000000000005</v>
      </c>
      <c r="E687" s="32">
        <v>69</v>
      </c>
      <c r="F687" s="32" t="s">
        <v>173</v>
      </c>
      <c r="G687" s="32">
        <v>9.7888000000000002</v>
      </c>
      <c r="H687" s="32">
        <v>5.7888000000000002</v>
      </c>
      <c r="I687" s="32" t="s">
        <v>174</v>
      </c>
      <c r="J687" s="32">
        <v>2</v>
      </c>
      <c r="K687" s="32" t="s">
        <v>183</v>
      </c>
      <c r="L687" s="18">
        <f t="shared" si="10"/>
        <v>999999999</v>
      </c>
    </row>
    <row r="688" spans="1:12" ht="15" customHeight="1" x14ac:dyDescent="0.25">
      <c r="A688" s="32" t="s">
        <v>186</v>
      </c>
      <c r="B688" s="32" t="s">
        <v>62</v>
      </c>
      <c r="C688" s="32" t="s">
        <v>154</v>
      </c>
      <c r="D688" s="32">
        <v>69.010000000000005</v>
      </c>
      <c r="E688" s="32">
        <v>69.5</v>
      </c>
      <c r="F688" s="32" t="s">
        <v>173</v>
      </c>
      <c r="G688" s="32">
        <v>9.8228000000000009</v>
      </c>
      <c r="H688" s="32">
        <v>4.8228</v>
      </c>
      <c r="I688" s="32" t="s">
        <v>174</v>
      </c>
      <c r="J688" s="32">
        <v>2</v>
      </c>
      <c r="K688" s="32" t="s">
        <v>183</v>
      </c>
      <c r="L688" s="18">
        <f t="shared" si="10"/>
        <v>999999999</v>
      </c>
    </row>
    <row r="689" spans="1:12" ht="15" customHeight="1" x14ac:dyDescent="0.25">
      <c r="A689" s="32" t="s">
        <v>186</v>
      </c>
      <c r="B689" s="32" t="s">
        <v>62</v>
      </c>
      <c r="C689" s="32" t="s">
        <v>154</v>
      </c>
      <c r="D689" s="32">
        <v>69.510000000000005</v>
      </c>
      <c r="E689" s="32">
        <v>70</v>
      </c>
      <c r="F689" s="32" t="s">
        <v>173</v>
      </c>
      <c r="G689" s="32">
        <v>9.8567999999999998</v>
      </c>
      <c r="H689" s="32">
        <v>2.8567999999999998</v>
      </c>
      <c r="I689" s="32" t="s">
        <v>174</v>
      </c>
      <c r="J689" s="32">
        <v>2</v>
      </c>
      <c r="K689" s="32" t="s">
        <v>183</v>
      </c>
      <c r="L689" s="18">
        <f t="shared" si="10"/>
        <v>999999999</v>
      </c>
    </row>
    <row r="690" spans="1:12" ht="15" customHeight="1" x14ac:dyDescent="0.25">
      <c r="A690" s="32" t="s">
        <v>186</v>
      </c>
      <c r="B690" s="32" t="s">
        <v>62</v>
      </c>
      <c r="C690" s="32" t="s">
        <v>154</v>
      </c>
      <c r="D690" s="32">
        <v>70.010000000000005</v>
      </c>
      <c r="E690" s="32">
        <v>70.5</v>
      </c>
      <c r="F690" s="32" t="s">
        <v>173</v>
      </c>
      <c r="G690" s="32">
        <v>9.8908000000000005</v>
      </c>
      <c r="H690" s="32">
        <v>2.8908</v>
      </c>
      <c r="I690" s="32" t="s">
        <v>174</v>
      </c>
      <c r="J690" s="32">
        <v>2</v>
      </c>
      <c r="K690" s="32" t="s">
        <v>183</v>
      </c>
      <c r="L690" s="18">
        <f t="shared" si="10"/>
        <v>999999999</v>
      </c>
    </row>
    <row r="691" spans="1:12" ht="15" customHeight="1" x14ac:dyDescent="0.25">
      <c r="A691" s="32" t="s">
        <v>186</v>
      </c>
      <c r="B691" s="32" t="s">
        <v>62</v>
      </c>
      <c r="C691" s="32" t="s">
        <v>154</v>
      </c>
      <c r="D691" s="32">
        <v>70.510000000000005</v>
      </c>
      <c r="E691" s="32">
        <v>71</v>
      </c>
      <c r="F691" s="32" t="s">
        <v>173</v>
      </c>
      <c r="G691" s="32">
        <v>9.9247999999999994</v>
      </c>
      <c r="H691" s="32">
        <v>4.9248000000000003</v>
      </c>
      <c r="I691" s="32" t="s">
        <v>174</v>
      </c>
      <c r="J691" s="32">
        <v>2</v>
      </c>
      <c r="K691" s="32" t="s">
        <v>183</v>
      </c>
      <c r="L691" s="18">
        <f t="shared" si="10"/>
        <v>999999999</v>
      </c>
    </row>
    <row r="692" spans="1:12" ht="15" customHeight="1" x14ac:dyDescent="0.25">
      <c r="A692" s="32" t="s">
        <v>186</v>
      </c>
      <c r="B692" s="32" t="s">
        <v>62</v>
      </c>
      <c r="C692" s="32" t="s">
        <v>154</v>
      </c>
      <c r="D692" s="32">
        <v>71.010000000000005</v>
      </c>
      <c r="E692" s="32">
        <v>71.5</v>
      </c>
      <c r="F692" s="32" t="s">
        <v>173</v>
      </c>
      <c r="G692" s="32">
        <v>9.9588000000000001</v>
      </c>
      <c r="H692" s="32">
        <v>6.9588000000000001</v>
      </c>
      <c r="I692" s="32" t="s">
        <v>174</v>
      </c>
      <c r="J692" s="32">
        <v>2</v>
      </c>
      <c r="K692" s="32" t="s">
        <v>183</v>
      </c>
      <c r="L692" s="18">
        <f t="shared" si="10"/>
        <v>999999999</v>
      </c>
    </row>
    <row r="693" spans="1:12" ht="15" customHeight="1" x14ac:dyDescent="0.25">
      <c r="A693" s="32" t="s">
        <v>186</v>
      </c>
      <c r="B693" s="32" t="s">
        <v>62</v>
      </c>
      <c r="C693" s="32" t="s">
        <v>154</v>
      </c>
      <c r="D693" s="32">
        <v>71.510000000000005</v>
      </c>
      <c r="E693" s="32">
        <v>72</v>
      </c>
      <c r="F693" s="32" t="s">
        <v>173</v>
      </c>
      <c r="G693" s="32">
        <v>9.9928000000000008</v>
      </c>
      <c r="H693" s="32">
        <v>6.9927999999999999</v>
      </c>
      <c r="I693" s="32" t="s">
        <v>174</v>
      </c>
      <c r="J693" s="32">
        <v>2</v>
      </c>
      <c r="K693" s="32" t="s">
        <v>183</v>
      </c>
      <c r="L693" s="18">
        <f t="shared" si="10"/>
        <v>999999999</v>
      </c>
    </row>
    <row r="694" spans="1:12" ht="15" customHeight="1" x14ac:dyDescent="0.25">
      <c r="A694" s="32" t="s">
        <v>186</v>
      </c>
      <c r="B694" s="32" t="s">
        <v>62</v>
      </c>
      <c r="C694" s="32" t="s">
        <v>154</v>
      </c>
      <c r="D694" s="32">
        <v>72.010000000000005</v>
      </c>
      <c r="E694" s="32">
        <v>72.5</v>
      </c>
      <c r="F694" s="32" t="s">
        <v>173</v>
      </c>
      <c r="G694" s="32">
        <v>11.0268</v>
      </c>
      <c r="H694" s="32">
        <v>4.0267999999999997</v>
      </c>
      <c r="I694" s="32" t="s">
        <v>174</v>
      </c>
      <c r="J694" s="32">
        <v>2</v>
      </c>
      <c r="K694" s="32" t="s">
        <v>183</v>
      </c>
      <c r="L694" s="18">
        <f t="shared" si="10"/>
        <v>999999999</v>
      </c>
    </row>
    <row r="695" spans="1:12" ht="15" customHeight="1" x14ac:dyDescent="0.25">
      <c r="A695" s="32" t="s">
        <v>186</v>
      </c>
      <c r="B695" s="32" t="s">
        <v>62</v>
      </c>
      <c r="C695" s="32" t="s">
        <v>154</v>
      </c>
      <c r="D695" s="32">
        <v>72.510000000000005</v>
      </c>
      <c r="E695" s="32">
        <v>73</v>
      </c>
      <c r="F695" s="32" t="s">
        <v>173</v>
      </c>
      <c r="G695" s="32">
        <v>11.0608</v>
      </c>
      <c r="H695" s="32">
        <v>4.0608000000000004</v>
      </c>
      <c r="I695" s="32" t="s">
        <v>174</v>
      </c>
      <c r="J695" s="32">
        <v>2</v>
      </c>
      <c r="K695" s="32" t="s">
        <v>183</v>
      </c>
      <c r="L695" s="18">
        <f t="shared" si="10"/>
        <v>999999999</v>
      </c>
    </row>
    <row r="696" spans="1:12" ht="15" customHeight="1" x14ac:dyDescent="0.25">
      <c r="A696" s="32" t="s">
        <v>186</v>
      </c>
      <c r="B696" s="32" t="s">
        <v>62</v>
      </c>
      <c r="C696" s="32" t="s">
        <v>154</v>
      </c>
      <c r="D696" s="32">
        <v>73.010000000000005</v>
      </c>
      <c r="E696" s="32">
        <v>73.5</v>
      </c>
      <c r="F696" s="32" t="s">
        <v>173</v>
      </c>
      <c r="G696" s="32">
        <v>11.094799999999999</v>
      </c>
      <c r="H696" s="32">
        <v>5.0948000000000002</v>
      </c>
      <c r="I696" s="32" t="s">
        <v>174</v>
      </c>
      <c r="J696" s="32">
        <v>2</v>
      </c>
      <c r="K696" s="32" t="s">
        <v>183</v>
      </c>
      <c r="L696" s="18">
        <f t="shared" si="10"/>
        <v>999999999</v>
      </c>
    </row>
    <row r="697" spans="1:12" ht="15" customHeight="1" x14ac:dyDescent="0.25">
      <c r="A697" s="32" t="s">
        <v>186</v>
      </c>
      <c r="B697" s="32" t="s">
        <v>62</v>
      </c>
      <c r="C697" s="32" t="s">
        <v>154</v>
      </c>
      <c r="D697" s="32">
        <v>73.510000000000005</v>
      </c>
      <c r="E697" s="32">
        <v>74</v>
      </c>
      <c r="F697" s="32" t="s">
        <v>173</v>
      </c>
      <c r="G697" s="32">
        <v>11.1288</v>
      </c>
      <c r="H697" s="32">
        <v>7.1288</v>
      </c>
      <c r="I697" s="32" t="s">
        <v>174</v>
      </c>
      <c r="J697" s="32">
        <v>2</v>
      </c>
      <c r="K697" s="32" t="s">
        <v>183</v>
      </c>
      <c r="L697" s="18">
        <f t="shared" si="10"/>
        <v>999999999</v>
      </c>
    </row>
    <row r="698" spans="1:12" ht="15" customHeight="1" x14ac:dyDescent="0.25">
      <c r="A698" s="32" t="s">
        <v>186</v>
      </c>
      <c r="B698" s="32" t="s">
        <v>62</v>
      </c>
      <c r="C698" s="32" t="s">
        <v>154</v>
      </c>
      <c r="D698" s="32">
        <v>74.010000000000005</v>
      </c>
      <c r="E698" s="32">
        <v>74.5</v>
      </c>
      <c r="F698" s="32" t="s">
        <v>173</v>
      </c>
      <c r="G698" s="32">
        <v>11.162800000000001</v>
      </c>
      <c r="H698" s="32">
        <v>6.1627999999999998</v>
      </c>
      <c r="I698" s="32" t="s">
        <v>174</v>
      </c>
      <c r="J698" s="32">
        <v>2</v>
      </c>
      <c r="K698" s="32" t="s">
        <v>183</v>
      </c>
      <c r="L698" s="18">
        <f t="shared" si="10"/>
        <v>999999999</v>
      </c>
    </row>
    <row r="699" spans="1:12" ht="15" customHeight="1" x14ac:dyDescent="0.25">
      <c r="A699" s="32" t="s">
        <v>186</v>
      </c>
      <c r="B699" s="32" t="s">
        <v>62</v>
      </c>
      <c r="C699" s="32" t="s">
        <v>154</v>
      </c>
      <c r="D699" s="32">
        <v>74.510000000000005</v>
      </c>
      <c r="E699" s="32">
        <v>75</v>
      </c>
      <c r="F699" s="32" t="s">
        <v>173</v>
      </c>
      <c r="G699" s="32">
        <v>11.1968</v>
      </c>
      <c r="H699" s="32">
        <v>5.1967999999999996</v>
      </c>
      <c r="I699" s="32" t="s">
        <v>174</v>
      </c>
      <c r="J699" s="32">
        <v>2</v>
      </c>
      <c r="K699" s="32" t="s">
        <v>183</v>
      </c>
      <c r="L699" s="18">
        <f t="shared" si="10"/>
        <v>999999999</v>
      </c>
    </row>
    <row r="700" spans="1:12" ht="15" customHeight="1" x14ac:dyDescent="0.25">
      <c r="A700" s="32" t="s">
        <v>186</v>
      </c>
      <c r="B700" s="32" t="s">
        <v>62</v>
      </c>
      <c r="C700" s="32" t="s">
        <v>154</v>
      </c>
      <c r="D700" s="32">
        <v>75.010000000000005</v>
      </c>
      <c r="E700" s="32">
        <v>99999.99</v>
      </c>
      <c r="F700" s="32" t="s">
        <v>173</v>
      </c>
      <c r="G700" s="32">
        <v>11.2216</v>
      </c>
      <c r="H700" s="32">
        <v>9.6000000000000002E-2</v>
      </c>
      <c r="I700" s="32" t="s">
        <v>174</v>
      </c>
      <c r="J700" s="32">
        <v>2</v>
      </c>
      <c r="K700" s="32" t="s">
        <v>183</v>
      </c>
      <c r="L700" s="18">
        <f t="shared" si="10"/>
        <v>999999999</v>
      </c>
    </row>
    <row r="701" spans="1:12" ht="15" customHeight="1" x14ac:dyDescent="0.25">
      <c r="A701" s="32" t="s">
        <v>186</v>
      </c>
      <c r="B701" s="32" t="s">
        <v>62</v>
      </c>
      <c r="C701" s="32" t="s">
        <v>154</v>
      </c>
      <c r="D701" s="32">
        <v>0</v>
      </c>
      <c r="E701" s="32">
        <v>0.5</v>
      </c>
      <c r="F701" s="32" t="s">
        <v>181</v>
      </c>
      <c r="G701" s="32">
        <v>1.4356</v>
      </c>
      <c r="H701" s="32">
        <v>0.43559999999999999</v>
      </c>
      <c r="I701" s="32" t="s">
        <v>174</v>
      </c>
      <c r="J701" s="32">
        <v>2</v>
      </c>
      <c r="K701" s="32" t="s">
        <v>183</v>
      </c>
      <c r="L701" s="18">
        <f t="shared" si="10"/>
        <v>999999999</v>
      </c>
    </row>
    <row r="702" spans="1:12" ht="15" customHeight="1" x14ac:dyDescent="0.25">
      <c r="A702" s="32" t="s">
        <v>186</v>
      </c>
      <c r="B702" s="32" t="s">
        <v>62</v>
      </c>
      <c r="C702" s="32" t="s">
        <v>154</v>
      </c>
      <c r="D702" s="32">
        <v>0.51</v>
      </c>
      <c r="E702" s="32">
        <v>1</v>
      </c>
      <c r="F702" s="32" t="s">
        <v>181</v>
      </c>
      <c r="G702" s="32">
        <v>1.4767999999999999</v>
      </c>
      <c r="H702" s="32">
        <v>0.4768</v>
      </c>
      <c r="I702" s="32" t="s">
        <v>174</v>
      </c>
      <c r="J702" s="32">
        <v>2</v>
      </c>
      <c r="K702" s="32" t="s">
        <v>183</v>
      </c>
      <c r="L702" s="18">
        <f t="shared" si="10"/>
        <v>999999999</v>
      </c>
    </row>
    <row r="703" spans="1:12" ht="15" customHeight="1" x14ac:dyDescent="0.25">
      <c r="A703" s="32" t="s">
        <v>186</v>
      </c>
      <c r="B703" s="32" t="s">
        <v>62</v>
      </c>
      <c r="C703" s="32" t="s">
        <v>154</v>
      </c>
      <c r="D703" s="32">
        <v>1.01</v>
      </c>
      <c r="E703" s="32">
        <v>1.5</v>
      </c>
      <c r="F703" s="32" t="s">
        <v>181</v>
      </c>
      <c r="G703" s="32">
        <v>1.5147999999999999</v>
      </c>
      <c r="H703" s="32">
        <v>0.51480000000000004</v>
      </c>
      <c r="I703" s="32" t="s">
        <v>174</v>
      </c>
      <c r="J703" s="32">
        <v>2</v>
      </c>
      <c r="K703" s="32" t="s">
        <v>183</v>
      </c>
      <c r="L703" s="18">
        <f t="shared" si="10"/>
        <v>999999999</v>
      </c>
    </row>
    <row r="704" spans="1:12" ht="15" customHeight="1" x14ac:dyDescent="0.25">
      <c r="A704" s="32" t="s">
        <v>186</v>
      </c>
      <c r="B704" s="32" t="s">
        <v>62</v>
      </c>
      <c r="C704" s="32" t="s">
        <v>154</v>
      </c>
      <c r="D704" s="32">
        <v>1.51</v>
      </c>
      <c r="E704" s="32">
        <v>2</v>
      </c>
      <c r="F704" s="32" t="s">
        <v>181</v>
      </c>
      <c r="G704" s="32">
        <v>1.5516000000000001</v>
      </c>
      <c r="H704" s="32">
        <v>0.55159999999999998</v>
      </c>
      <c r="I704" s="32" t="s">
        <v>174</v>
      </c>
      <c r="J704" s="32">
        <v>2</v>
      </c>
      <c r="K704" s="32" t="s">
        <v>183</v>
      </c>
      <c r="L704" s="18">
        <f t="shared" si="10"/>
        <v>999999999</v>
      </c>
    </row>
    <row r="705" spans="1:12" ht="15" customHeight="1" x14ac:dyDescent="0.25">
      <c r="A705" s="32" t="s">
        <v>186</v>
      </c>
      <c r="B705" s="32" t="s">
        <v>62</v>
      </c>
      <c r="C705" s="32" t="s">
        <v>154</v>
      </c>
      <c r="D705" s="32">
        <v>2.0099999999999998</v>
      </c>
      <c r="E705" s="32">
        <v>2.5</v>
      </c>
      <c r="F705" s="32" t="s">
        <v>181</v>
      </c>
      <c r="G705" s="32">
        <v>1.5860000000000001</v>
      </c>
      <c r="H705" s="32">
        <v>0.58599999999999997</v>
      </c>
      <c r="I705" s="32" t="s">
        <v>174</v>
      </c>
      <c r="J705" s="32">
        <v>2</v>
      </c>
      <c r="K705" s="32" t="s">
        <v>183</v>
      </c>
      <c r="L705" s="18">
        <f t="shared" si="10"/>
        <v>999999999</v>
      </c>
    </row>
    <row r="706" spans="1:12" ht="15" customHeight="1" x14ac:dyDescent="0.25">
      <c r="A706" s="32" t="s">
        <v>186</v>
      </c>
      <c r="B706" s="32" t="s">
        <v>62</v>
      </c>
      <c r="C706" s="32" t="s">
        <v>154</v>
      </c>
      <c r="D706" s="32">
        <v>2.5099999999999998</v>
      </c>
      <c r="E706" s="32">
        <v>3</v>
      </c>
      <c r="F706" s="32" t="s">
        <v>181</v>
      </c>
      <c r="G706" s="32">
        <v>1.6204000000000001</v>
      </c>
      <c r="H706" s="32">
        <v>0.62039999999999995</v>
      </c>
      <c r="I706" s="32" t="s">
        <v>174</v>
      </c>
      <c r="J706" s="32">
        <v>2</v>
      </c>
      <c r="K706" s="32" t="s">
        <v>183</v>
      </c>
      <c r="L706" s="18">
        <f t="shared" ref="L706:L769" si="11">IF(AND(B706=Quote_Port,D706&lt;=Quote_Weight,Quote_Weight&lt;=E706,OR(Quote_2Day="No",J706&lt;=2)),MAX(G706,Quote_Weight*H706)*Quote_USDINR,999999999)</f>
        <v>999999999</v>
      </c>
    </row>
    <row r="707" spans="1:12" ht="15" customHeight="1" x14ac:dyDescent="0.25">
      <c r="A707" s="32" t="s">
        <v>186</v>
      </c>
      <c r="B707" s="32" t="s">
        <v>62</v>
      </c>
      <c r="C707" s="32" t="s">
        <v>154</v>
      </c>
      <c r="D707" s="32">
        <v>3.01</v>
      </c>
      <c r="E707" s="32">
        <v>3.5</v>
      </c>
      <c r="F707" s="32" t="s">
        <v>181</v>
      </c>
      <c r="G707" s="32">
        <v>1.6539999999999999</v>
      </c>
      <c r="H707" s="32">
        <v>0.65400000000000003</v>
      </c>
      <c r="I707" s="32" t="s">
        <v>174</v>
      </c>
      <c r="J707" s="32">
        <v>2</v>
      </c>
      <c r="K707" s="32" t="s">
        <v>183</v>
      </c>
      <c r="L707" s="18">
        <f t="shared" si="11"/>
        <v>999999999</v>
      </c>
    </row>
    <row r="708" spans="1:12" ht="15" customHeight="1" x14ac:dyDescent="0.25">
      <c r="A708" s="32" t="s">
        <v>186</v>
      </c>
      <c r="B708" s="32" t="s">
        <v>62</v>
      </c>
      <c r="C708" s="32" t="s">
        <v>154</v>
      </c>
      <c r="D708" s="32">
        <v>3.51</v>
      </c>
      <c r="E708" s="32">
        <v>4</v>
      </c>
      <c r="F708" s="32" t="s">
        <v>181</v>
      </c>
      <c r="G708" s="32">
        <v>1.6883999999999999</v>
      </c>
      <c r="H708" s="32">
        <v>0.68840000000000001</v>
      </c>
      <c r="I708" s="32" t="s">
        <v>174</v>
      </c>
      <c r="J708" s="32">
        <v>2</v>
      </c>
      <c r="K708" s="32" t="s">
        <v>183</v>
      </c>
      <c r="L708" s="18">
        <f t="shared" si="11"/>
        <v>999999999</v>
      </c>
    </row>
    <row r="709" spans="1:12" ht="15" customHeight="1" x14ac:dyDescent="0.25">
      <c r="A709" s="32" t="s">
        <v>186</v>
      </c>
      <c r="B709" s="32" t="s">
        <v>62</v>
      </c>
      <c r="C709" s="32" t="s">
        <v>154</v>
      </c>
      <c r="D709" s="32">
        <v>4.01</v>
      </c>
      <c r="E709" s="32">
        <v>4.5</v>
      </c>
      <c r="F709" s="32" t="s">
        <v>181</v>
      </c>
      <c r="G709" s="32">
        <v>1.7228000000000001</v>
      </c>
      <c r="H709" s="32">
        <v>0.7228</v>
      </c>
      <c r="I709" s="32" t="s">
        <v>174</v>
      </c>
      <c r="J709" s="32">
        <v>2</v>
      </c>
      <c r="K709" s="32" t="s">
        <v>183</v>
      </c>
      <c r="L709" s="18">
        <f t="shared" si="11"/>
        <v>999999999</v>
      </c>
    </row>
    <row r="710" spans="1:12" ht="15" customHeight="1" x14ac:dyDescent="0.25">
      <c r="A710" s="32" t="s">
        <v>186</v>
      </c>
      <c r="B710" s="32" t="s">
        <v>62</v>
      </c>
      <c r="C710" s="32" t="s">
        <v>154</v>
      </c>
      <c r="D710" s="32">
        <v>4.51</v>
      </c>
      <c r="E710" s="32">
        <v>5</v>
      </c>
      <c r="F710" s="32" t="s">
        <v>181</v>
      </c>
      <c r="G710" s="32">
        <v>1.7567999999999999</v>
      </c>
      <c r="H710" s="32">
        <v>0.75680000000000003</v>
      </c>
      <c r="I710" s="32" t="s">
        <v>174</v>
      </c>
      <c r="J710" s="32">
        <v>2</v>
      </c>
      <c r="K710" s="32" t="s">
        <v>183</v>
      </c>
      <c r="L710" s="18">
        <f t="shared" si="11"/>
        <v>999999999</v>
      </c>
    </row>
    <row r="711" spans="1:12" ht="15" customHeight="1" x14ac:dyDescent="0.25">
      <c r="A711" s="32" t="s">
        <v>186</v>
      </c>
      <c r="B711" s="32" t="s">
        <v>62</v>
      </c>
      <c r="C711" s="32" t="s">
        <v>154</v>
      </c>
      <c r="D711" s="32">
        <v>5.01</v>
      </c>
      <c r="E711" s="32">
        <v>5.5</v>
      </c>
      <c r="F711" s="32" t="s">
        <v>181</v>
      </c>
      <c r="G711" s="32">
        <v>1.7871999999999999</v>
      </c>
      <c r="H711" s="32">
        <v>0.78720000000000001</v>
      </c>
      <c r="I711" s="32" t="s">
        <v>174</v>
      </c>
      <c r="J711" s="32">
        <v>2</v>
      </c>
      <c r="K711" s="32" t="s">
        <v>183</v>
      </c>
      <c r="L711" s="18">
        <f t="shared" si="11"/>
        <v>999999999</v>
      </c>
    </row>
    <row r="712" spans="1:12" ht="15" customHeight="1" x14ac:dyDescent="0.25">
      <c r="A712" s="32" t="s">
        <v>186</v>
      </c>
      <c r="B712" s="32" t="s">
        <v>62</v>
      </c>
      <c r="C712" s="32" t="s">
        <v>154</v>
      </c>
      <c r="D712" s="32">
        <v>5.51</v>
      </c>
      <c r="E712" s="32">
        <v>6</v>
      </c>
      <c r="F712" s="32" t="s">
        <v>181</v>
      </c>
      <c r="G712" s="32">
        <v>1.8176000000000001</v>
      </c>
      <c r="H712" s="32">
        <v>0.81759999999999999</v>
      </c>
      <c r="I712" s="32" t="s">
        <v>174</v>
      </c>
      <c r="J712" s="32">
        <v>2</v>
      </c>
      <c r="K712" s="32" t="s">
        <v>183</v>
      </c>
      <c r="L712" s="18">
        <f t="shared" si="11"/>
        <v>999999999</v>
      </c>
    </row>
    <row r="713" spans="1:12" ht="15" customHeight="1" x14ac:dyDescent="0.25">
      <c r="A713" s="32" t="s">
        <v>186</v>
      </c>
      <c r="B713" s="32" t="s">
        <v>62</v>
      </c>
      <c r="C713" s="32" t="s">
        <v>154</v>
      </c>
      <c r="D713" s="32">
        <v>6.01</v>
      </c>
      <c r="E713" s="32">
        <v>6.5</v>
      </c>
      <c r="F713" s="32" t="s">
        <v>181</v>
      </c>
      <c r="G713" s="32">
        <v>1.8480000000000001</v>
      </c>
      <c r="H713" s="32">
        <v>0.84799999999999998</v>
      </c>
      <c r="I713" s="32" t="s">
        <v>174</v>
      </c>
      <c r="J713" s="32">
        <v>2</v>
      </c>
      <c r="K713" s="32" t="s">
        <v>183</v>
      </c>
      <c r="L713" s="18">
        <f t="shared" si="11"/>
        <v>999999999</v>
      </c>
    </row>
    <row r="714" spans="1:12" ht="15" customHeight="1" x14ac:dyDescent="0.25">
      <c r="A714" s="32" t="s">
        <v>186</v>
      </c>
      <c r="B714" s="32" t="s">
        <v>62</v>
      </c>
      <c r="C714" s="32" t="s">
        <v>154</v>
      </c>
      <c r="D714" s="32">
        <v>6.51</v>
      </c>
      <c r="E714" s="32">
        <v>7</v>
      </c>
      <c r="F714" s="32" t="s">
        <v>181</v>
      </c>
      <c r="G714" s="32">
        <v>1.8784000000000001</v>
      </c>
      <c r="H714" s="32">
        <v>0.87839999999999996</v>
      </c>
      <c r="I714" s="32" t="s">
        <v>174</v>
      </c>
      <c r="J714" s="32">
        <v>2</v>
      </c>
      <c r="K714" s="32" t="s">
        <v>183</v>
      </c>
      <c r="L714" s="18">
        <f t="shared" si="11"/>
        <v>999999999</v>
      </c>
    </row>
    <row r="715" spans="1:12" ht="15" customHeight="1" x14ac:dyDescent="0.25">
      <c r="A715" s="32" t="s">
        <v>186</v>
      </c>
      <c r="B715" s="32" t="s">
        <v>62</v>
      </c>
      <c r="C715" s="32" t="s">
        <v>154</v>
      </c>
      <c r="D715" s="32">
        <v>7.01</v>
      </c>
      <c r="E715" s="32">
        <v>7.5</v>
      </c>
      <c r="F715" s="32" t="s">
        <v>181</v>
      </c>
      <c r="G715" s="32">
        <v>1.9088000000000001</v>
      </c>
      <c r="H715" s="32">
        <v>0.90880000000000005</v>
      </c>
      <c r="I715" s="32" t="s">
        <v>174</v>
      </c>
      <c r="J715" s="32">
        <v>2</v>
      </c>
      <c r="K715" s="32" t="s">
        <v>183</v>
      </c>
      <c r="L715" s="18">
        <f t="shared" si="11"/>
        <v>999999999</v>
      </c>
    </row>
    <row r="716" spans="1:12" ht="15" customHeight="1" x14ac:dyDescent="0.25">
      <c r="A716" s="32" t="s">
        <v>186</v>
      </c>
      <c r="B716" s="32" t="s">
        <v>62</v>
      </c>
      <c r="C716" s="32" t="s">
        <v>154</v>
      </c>
      <c r="D716" s="32">
        <v>7.51</v>
      </c>
      <c r="E716" s="32">
        <v>8</v>
      </c>
      <c r="F716" s="32" t="s">
        <v>181</v>
      </c>
      <c r="G716" s="32">
        <v>1.9392</v>
      </c>
      <c r="H716" s="32">
        <v>0.93920000000000003</v>
      </c>
      <c r="I716" s="32" t="s">
        <v>174</v>
      </c>
      <c r="J716" s="32">
        <v>2</v>
      </c>
      <c r="K716" s="32" t="s">
        <v>183</v>
      </c>
      <c r="L716" s="18">
        <f t="shared" si="11"/>
        <v>999999999</v>
      </c>
    </row>
    <row r="717" spans="1:12" ht="15" customHeight="1" x14ac:dyDescent="0.25">
      <c r="A717" s="32" t="s">
        <v>186</v>
      </c>
      <c r="B717" s="32" t="s">
        <v>62</v>
      </c>
      <c r="C717" s="32" t="s">
        <v>154</v>
      </c>
      <c r="D717" s="32">
        <v>8.01</v>
      </c>
      <c r="E717" s="32">
        <v>8.5</v>
      </c>
      <c r="F717" s="32" t="s">
        <v>181</v>
      </c>
      <c r="G717" s="32">
        <v>1.9696</v>
      </c>
      <c r="H717" s="32">
        <v>0.96960000000000002</v>
      </c>
      <c r="I717" s="32" t="s">
        <v>174</v>
      </c>
      <c r="J717" s="32">
        <v>2</v>
      </c>
      <c r="K717" s="32" t="s">
        <v>183</v>
      </c>
      <c r="L717" s="18">
        <f t="shared" si="11"/>
        <v>999999999</v>
      </c>
    </row>
    <row r="718" spans="1:12" ht="15" customHeight="1" x14ac:dyDescent="0.25">
      <c r="A718" s="32" t="s">
        <v>186</v>
      </c>
      <c r="B718" s="32" t="s">
        <v>62</v>
      </c>
      <c r="C718" s="32" t="s">
        <v>154</v>
      </c>
      <c r="D718" s="32">
        <v>8.51</v>
      </c>
      <c r="E718" s="32">
        <v>9</v>
      </c>
      <c r="F718" s="32" t="s">
        <v>181</v>
      </c>
      <c r="G718" s="32">
        <v>2</v>
      </c>
      <c r="H718" s="32">
        <v>1</v>
      </c>
      <c r="I718" s="32" t="s">
        <v>174</v>
      </c>
      <c r="J718" s="32">
        <v>2</v>
      </c>
      <c r="K718" s="32" t="s">
        <v>183</v>
      </c>
      <c r="L718" s="18">
        <f t="shared" si="11"/>
        <v>999999999</v>
      </c>
    </row>
    <row r="719" spans="1:12" ht="15" customHeight="1" x14ac:dyDescent="0.25">
      <c r="A719" s="32" t="s">
        <v>186</v>
      </c>
      <c r="B719" s="32" t="s">
        <v>62</v>
      </c>
      <c r="C719" s="32" t="s">
        <v>154</v>
      </c>
      <c r="D719" s="32">
        <v>9.01</v>
      </c>
      <c r="E719" s="32">
        <v>9.5</v>
      </c>
      <c r="F719" s="32" t="s">
        <v>181</v>
      </c>
      <c r="G719" s="32">
        <v>3.0304000000000002</v>
      </c>
      <c r="H719" s="32">
        <v>1.0304</v>
      </c>
      <c r="I719" s="32" t="s">
        <v>174</v>
      </c>
      <c r="J719" s="32">
        <v>2</v>
      </c>
      <c r="K719" s="32" t="s">
        <v>183</v>
      </c>
      <c r="L719" s="18">
        <f t="shared" si="11"/>
        <v>999999999</v>
      </c>
    </row>
    <row r="720" spans="1:12" ht="15" customHeight="1" x14ac:dyDescent="0.25">
      <c r="A720" s="32" t="s">
        <v>186</v>
      </c>
      <c r="B720" s="32" t="s">
        <v>62</v>
      </c>
      <c r="C720" s="32" t="s">
        <v>154</v>
      </c>
      <c r="D720" s="32">
        <v>9.51</v>
      </c>
      <c r="E720" s="32">
        <v>10</v>
      </c>
      <c r="F720" s="32" t="s">
        <v>181</v>
      </c>
      <c r="G720" s="32">
        <v>3.0608</v>
      </c>
      <c r="H720" s="32">
        <v>1.0608</v>
      </c>
      <c r="I720" s="32" t="s">
        <v>174</v>
      </c>
      <c r="J720" s="32">
        <v>2</v>
      </c>
      <c r="K720" s="32" t="s">
        <v>183</v>
      </c>
      <c r="L720" s="18">
        <f t="shared" si="11"/>
        <v>999999999</v>
      </c>
    </row>
    <row r="721" spans="1:12" ht="15" customHeight="1" x14ac:dyDescent="0.25">
      <c r="A721" s="32" t="s">
        <v>186</v>
      </c>
      <c r="B721" s="32" t="s">
        <v>62</v>
      </c>
      <c r="C721" s="32" t="s">
        <v>154</v>
      </c>
      <c r="D721" s="32">
        <v>10.01</v>
      </c>
      <c r="E721" s="32">
        <v>10.5</v>
      </c>
      <c r="F721" s="32" t="s">
        <v>181</v>
      </c>
      <c r="G721" s="32">
        <v>3.0903999999999998</v>
      </c>
      <c r="H721" s="32">
        <v>1.0904</v>
      </c>
      <c r="I721" s="32" t="s">
        <v>174</v>
      </c>
      <c r="J721" s="32">
        <v>2</v>
      </c>
      <c r="K721" s="32" t="s">
        <v>183</v>
      </c>
      <c r="L721" s="18">
        <f t="shared" si="11"/>
        <v>999999999</v>
      </c>
    </row>
    <row r="722" spans="1:12" ht="15" customHeight="1" x14ac:dyDescent="0.25">
      <c r="A722" s="32" t="s">
        <v>186</v>
      </c>
      <c r="B722" s="32" t="s">
        <v>62</v>
      </c>
      <c r="C722" s="32" t="s">
        <v>154</v>
      </c>
      <c r="D722" s="32">
        <v>10.51</v>
      </c>
      <c r="E722" s="32">
        <v>11</v>
      </c>
      <c r="F722" s="32" t="s">
        <v>181</v>
      </c>
      <c r="G722" s="32">
        <v>3.12</v>
      </c>
      <c r="H722" s="32">
        <v>1.1200000000000001</v>
      </c>
      <c r="I722" s="32" t="s">
        <v>174</v>
      </c>
      <c r="J722" s="32">
        <v>2</v>
      </c>
      <c r="K722" s="32" t="s">
        <v>183</v>
      </c>
      <c r="L722" s="18">
        <f t="shared" si="11"/>
        <v>999999999</v>
      </c>
    </row>
    <row r="723" spans="1:12" ht="15" customHeight="1" x14ac:dyDescent="0.25">
      <c r="A723" s="32" t="s">
        <v>186</v>
      </c>
      <c r="B723" s="32" t="s">
        <v>62</v>
      </c>
      <c r="C723" s="32" t="s">
        <v>154</v>
      </c>
      <c r="D723" s="32">
        <v>11.01</v>
      </c>
      <c r="E723" s="32">
        <v>11.5</v>
      </c>
      <c r="F723" s="32" t="s">
        <v>181</v>
      </c>
      <c r="G723" s="32">
        <v>3.1496</v>
      </c>
      <c r="H723" s="32">
        <v>1.1496</v>
      </c>
      <c r="I723" s="32" t="s">
        <v>174</v>
      </c>
      <c r="J723" s="32">
        <v>2</v>
      </c>
      <c r="K723" s="32" t="s">
        <v>183</v>
      </c>
      <c r="L723" s="18">
        <f t="shared" si="11"/>
        <v>999999999</v>
      </c>
    </row>
    <row r="724" spans="1:12" ht="15" customHeight="1" x14ac:dyDescent="0.25">
      <c r="A724" s="32" t="s">
        <v>186</v>
      </c>
      <c r="B724" s="32" t="s">
        <v>62</v>
      </c>
      <c r="C724" s="32" t="s">
        <v>154</v>
      </c>
      <c r="D724" s="32">
        <v>11.51</v>
      </c>
      <c r="E724" s="32">
        <v>12</v>
      </c>
      <c r="F724" s="32" t="s">
        <v>181</v>
      </c>
      <c r="G724" s="32">
        <v>3.1791999999999998</v>
      </c>
      <c r="H724" s="32">
        <v>1.1792</v>
      </c>
      <c r="I724" s="32" t="s">
        <v>174</v>
      </c>
      <c r="J724" s="32">
        <v>2</v>
      </c>
      <c r="K724" s="32" t="s">
        <v>183</v>
      </c>
      <c r="L724" s="18">
        <f t="shared" si="11"/>
        <v>999999999</v>
      </c>
    </row>
    <row r="725" spans="1:12" ht="15" customHeight="1" x14ac:dyDescent="0.25">
      <c r="A725" s="32" t="s">
        <v>186</v>
      </c>
      <c r="B725" s="32" t="s">
        <v>62</v>
      </c>
      <c r="C725" s="32" t="s">
        <v>154</v>
      </c>
      <c r="D725" s="32">
        <v>12.01</v>
      </c>
      <c r="E725" s="32">
        <v>12.5</v>
      </c>
      <c r="F725" s="32" t="s">
        <v>181</v>
      </c>
      <c r="G725" s="32">
        <v>3.2088000000000001</v>
      </c>
      <c r="H725" s="32">
        <v>1.2088000000000001</v>
      </c>
      <c r="I725" s="32" t="s">
        <v>174</v>
      </c>
      <c r="J725" s="32">
        <v>2</v>
      </c>
      <c r="K725" s="32" t="s">
        <v>183</v>
      </c>
      <c r="L725" s="18">
        <f t="shared" si="11"/>
        <v>999999999</v>
      </c>
    </row>
    <row r="726" spans="1:12" ht="15" customHeight="1" x14ac:dyDescent="0.25">
      <c r="A726" s="32" t="s">
        <v>186</v>
      </c>
      <c r="B726" s="32" t="s">
        <v>62</v>
      </c>
      <c r="C726" s="32" t="s">
        <v>154</v>
      </c>
      <c r="D726" s="32">
        <v>12.51</v>
      </c>
      <c r="E726" s="32">
        <v>13</v>
      </c>
      <c r="F726" s="32" t="s">
        <v>181</v>
      </c>
      <c r="G726" s="32">
        <v>3.2383999999999999</v>
      </c>
      <c r="H726" s="32">
        <v>1.2383999999999999</v>
      </c>
      <c r="I726" s="32" t="s">
        <v>174</v>
      </c>
      <c r="J726" s="32">
        <v>2</v>
      </c>
      <c r="K726" s="32" t="s">
        <v>183</v>
      </c>
      <c r="L726" s="18">
        <f t="shared" si="11"/>
        <v>999999999</v>
      </c>
    </row>
    <row r="727" spans="1:12" ht="15" customHeight="1" x14ac:dyDescent="0.25">
      <c r="A727" s="32" t="s">
        <v>186</v>
      </c>
      <c r="B727" s="32" t="s">
        <v>62</v>
      </c>
      <c r="C727" s="32" t="s">
        <v>154</v>
      </c>
      <c r="D727" s="32">
        <v>13.01</v>
      </c>
      <c r="E727" s="32">
        <v>13.5</v>
      </c>
      <c r="F727" s="32" t="s">
        <v>181</v>
      </c>
      <c r="G727" s="32">
        <v>3.2679999999999998</v>
      </c>
      <c r="H727" s="32">
        <v>1.268</v>
      </c>
      <c r="I727" s="32" t="s">
        <v>174</v>
      </c>
      <c r="J727" s="32">
        <v>2</v>
      </c>
      <c r="K727" s="32" t="s">
        <v>183</v>
      </c>
      <c r="L727" s="18">
        <f t="shared" si="11"/>
        <v>999999999</v>
      </c>
    </row>
    <row r="728" spans="1:12" ht="15" customHeight="1" x14ac:dyDescent="0.25">
      <c r="A728" s="32" t="s">
        <v>186</v>
      </c>
      <c r="B728" s="32" t="s">
        <v>62</v>
      </c>
      <c r="C728" s="32" t="s">
        <v>154</v>
      </c>
      <c r="D728" s="32">
        <v>13.51</v>
      </c>
      <c r="E728" s="32">
        <v>14</v>
      </c>
      <c r="F728" s="32" t="s">
        <v>181</v>
      </c>
      <c r="G728" s="32">
        <v>3.2976000000000001</v>
      </c>
      <c r="H728" s="32">
        <v>1.2976000000000001</v>
      </c>
      <c r="I728" s="32" t="s">
        <v>174</v>
      </c>
      <c r="J728" s="32">
        <v>2</v>
      </c>
      <c r="K728" s="32" t="s">
        <v>183</v>
      </c>
      <c r="L728" s="18">
        <f t="shared" si="11"/>
        <v>999999999</v>
      </c>
    </row>
    <row r="729" spans="1:12" ht="15" customHeight="1" x14ac:dyDescent="0.25">
      <c r="A729" s="32" t="s">
        <v>186</v>
      </c>
      <c r="B729" s="32" t="s">
        <v>62</v>
      </c>
      <c r="C729" s="32" t="s">
        <v>154</v>
      </c>
      <c r="D729" s="32">
        <v>14.01</v>
      </c>
      <c r="E729" s="32">
        <v>14.5</v>
      </c>
      <c r="F729" s="32" t="s">
        <v>181</v>
      </c>
      <c r="G729" s="32">
        <v>3.3271999999999999</v>
      </c>
      <c r="H729" s="32">
        <v>1.3271999999999999</v>
      </c>
      <c r="I729" s="32" t="s">
        <v>174</v>
      </c>
      <c r="J729" s="32">
        <v>2</v>
      </c>
      <c r="K729" s="32" t="s">
        <v>183</v>
      </c>
      <c r="L729" s="18">
        <f t="shared" si="11"/>
        <v>999999999</v>
      </c>
    </row>
    <row r="730" spans="1:12" ht="15" customHeight="1" x14ac:dyDescent="0.25">
      <c r="A730" s="32" t="s">
        <v>186</v>
      </c>
      <c r="B730" s="32" t="s">
        <v>62</v>
      </c>
      <c r="C730" s="32" t="s">
        <v>154</v>
      </c>
      <c r="D730" s="32">
        <v>14.51</v>
      </c>
      <c r="E730" s="32">
        <v>15</v>
      </c>
      <c r="F730" s="32" t="s">
        <v>181</v>
      </c>
      <c r="G730" s="32">
        <v>3.3567999999999998</v>
      </c>
      <c r="H730" s="32">
        <v>1.3568</v>
      </c>
      <c r="I730" s="32" t="s">
        <v>174</v>
      </c>
      <c r="J730" s="32">
        <v>2</v>
      </c>
      <c r="K730" s="32" t="s">
        <v>183</v>
      </c>
      <c r="L730" s="18">
        <f t="shared" si="11"/>
        <v>999999999</v>
      </c>
    </row>
    <row r="731" spans="1:12" ht="15" customHeight="1" x14ac:dyDescent="0.25">
      <c r="A731" s="32" t="s">
        <v>186</v>
      </c>
      <c r="B731" s="32" t="s">
        <v>62</v>
      </c>
      <c r="C731" s="32" t="s">
        <v>154</v>
      </c>
      <c r="D731" s="32">
        <v>15.01</v>
      </c>
      <c r="E731" s="32">
        <v>15.5</v>
      </c>
      <c r="F731" s="32" t="s">
        <v>181</v>
      </c>
      <c r="G731" s="32">
        <v>3.3868</v>
      </c>
      <c r="H731" s="32">
        <v>1.3868</v>
      </c>
      <c r="I731" s="32" t="s">
        <v>174</v>
      </c>
      <c r="J731" s="32">
        <v>2</v>
      </c>
      <c r="K731" s="32" t="s">
        <v>183</v>
      </c>
      <c r="L731" s="18">
        <f t="shared" si="11"/>
        <v>999999999</v>
      </c>
    </row>
    <row r="732" spans="1:12" ht="15" customHeight="1" x14ac:dyDescent="0.25">
      <c r="A732" s="32" t="s">
        <v>186</v>
      </c>
      <c r="B732" s="32" t="s">
        <v>62</v>
      </c>
      <c r="C732" s="32" t="s">
        <v>154</v>
      </c>
      <c r="D732" s="32">
        <v>15.51</v>
      </c>
      <c r="E732" s="32">
        <v>16</v>
      </c>
      <c r="F732" s="32" t="s">
        <v>181</v>
      </c>
      <c r="G732" s="32">
        <v>3.4167999999999998</v>
      </c>
      <c r="H732" s="32">
        <v>1.4168000000000001</v>
      </c>
      <c r="I732" s="32" t="s">
        <v>174</v>
      </c>
      <c r="J732" s="32">
        <v>2</v>
      </c>
      <c r="K732" s="32" t="s">
        <v>183</v>
      </c>
      <c r="L732" s="18">
        <f t="shared" si="11"/>
        <v>999999999</v>
      </c>
    </row>
    <row r="733" spans="1:12" ht="15" customHeight="1" x14ac:dyDescent="0.25">
      <c r="A733" s="32" t="s">
        <v>186</v>
      </c>
      <c r="B733" s="32" t="s">
        <v>62</v>
      </c>
      <c r="C733" s="32" t="s">
        <v>154</v>
      </c>
      <c r="D733" s="32">
        <v>16.010000000000002</v>
      </c>
      <c r="E733" s="32">
        <v>16.5</v>
      </c>
      <c r="F733" s="32" t="s">
        <v>181</v>
      </c>
      <c r="G733" s="32">
        <v>3.4468000000000001</v>
      </c>
      <c r="H733" s="32">
        <v>1.4468000000000001</v>
      </c>
      <c r="I733" s="32" t="s">
        <v>174</v>
      </c>
      <c r="J733" s="32">
        <v>2</v>
      </c>
      <c r="K733" s="32" t="s">
        <v>183</v>
      </c>
      <c r="L733" s="18">
        <f t="shared" si="11"/>
        <v>999999999</v>
      </c>
    </row>
    <row r="734" spans="1:12" ht="15" customHeight="1" x14ac:dyDescent="0.25">
      <c r="A734" s="32" t="s">
        <v>186</v>
      </c>
      <c r="B734" s="32" t="s">
        <v>62</v>
      </c>
      <c r="C734" s="32" t="s">
        <v>154</v>
      </c>
      <c r="D734" s="32">
        <v>16.510000000000002</v>
      </c>
      <c r="E734" s="32">
        <v>17</v>
      </c>
      <c r="F734" s="32" t="s">
        <v>181</v>
      </c>
      <c r="G734" s="32">
        <v>3.4767999999999999</v>
      </c>
      <c r="H734" s="32">
        <v>1.4767999999999999</v>
      </c>
      <c r="I734" s="32" t="s">
        <v>174</v>
      </c>
      <c r="J734" s="32">
        <v>2</v>
      </c>
      <c r="K734" s="32" t="s">
        <v>183</v>
      </c>
      <c r="L734" s="18">
        <f t="shared" si="11"/>
        <v>999999999</v>
      </c>
    </row>
    <row r="735" spans="1:12" ht="15" customHeight="1" x14ac:dyDescent="0.25">
      <c r="A735" s="32" t="s">
        <v>186</v>
      </c>
      <c r="B735" s="32" t="s">
        <v>62</v>
      </c>
      <c r="C735" s="32" t="s">
        <v>154</v>
      </c>
      <c r="D735" s="32">
        <v>17.010000000000002</v>
      </c>
      <c r="E735" s="32">
        <v>17.5</v>
      </c>
      <c r="F735" s="32" t="s">
        <v>181</v>
      </c>
      <c r="G735" s="32">
        <v>3.5068000000000001</v>
      </c>
      <c r="H735" s="32">
        <v>1.5067999999999999</v>
      </c>
      <c r="I735" s="32" t="s">
        <v>174</v>
      </c>
      <c r="J735" s="32">
        <v>2</v>
      </c>
      <c r="K735" s="32" t="s">
        <v>183</v>
      </c>
      <c r="L735" s="18">
        <f t="shared" si="11"/>
        <v>999999999</v>
      </c>
    </row>
    <row r="736" spans="1:12" ht="15" customHeight="1" x14ac:dyDescent="0.25">
      <c r="A736" s="32" t="s">
        <v>186</v>
      </c>
      <c r="B736" s="32" t="s">
        <v>62</v>
      </c>
      <c r="C736" s="32" t="s">
        <v>154</v>
      </c>
      <c r="D736" s="32">
        <v>17.510000000000002</v>
      </c>
      <c r="E736" s="32">
        <v>18</v>
      </c>
      <c r="F736" s="32" t="s">
        <v>181</v>
      </c>
      <c r="G736" s="32">
        <v>3.5367999999999999</v>
      </c>
      <c r="H736" s="32">
        <v>1.5367999999999999</v>
      </c>
      <c r="I736" s="32" t="s">
        <v>174</v>
      </c>
      <c r="J736" s="32">
        <v>2</v>
      </c>
      <c r="K736" s="32" t="s">
        <v>183</v>
      </c>
      <c r="L736" s="18">
        <f t="shared" si="11"/>
        <v>999999999</v>
      </c>
    </row>
    <row r="737" spans="1:12" ht="15" customHeight="1" x14ac:dyDescent="0.25">
      <c r="A737" s="32" t="s">
        <v>186</v>
      </c>
      <c r="B737" s="32" t="s">
        <v>62</v>
      </c>
      <c r="C737" s="32" t="s">
        <v>154</v>
      </c>
      <c r="D737" s="32">
        <v>18.010000000000002</v>
      </c>
      <c r="E737" s="32">
        <v>18.5</v>
      </c>
      <c r="F737" s="32" t="s">
        <v>181</v>
      </c>
      <c r="G737" s="32">
        <v>3.5668000000000002</v>
      </c>
      <c r="H737" s="32">
        <v>1.5668</v>
      </c>
      <c r="I737" s="32" t="s">
        <v>174</v>
      </c>
      <c r="J737" s="32">
        <v>2</v>
      </c>
      <c r="K737" s="32" t="s">
        <v>183</v>
      </c>
      <c r="L737" s="18">
        <f t="shared" si="11"/>
        <v>999999999</v>
      </c>
    </row>
    <row r="738" spans="1:12" ht="15" customHeight="1" x14ac:dyDescent="0.25">
      <c r="A738" s="32" t="s">
        <v>186</v>
      </c>
      <c r="B738" s="32" t="s">
        <v>62</v>
      </c>
      <c r="C738" s="32" t="s">
        <v>154</v>
      </c>
      <c r="D738" s="32">
        <v>18.510000000000002</v>
      </c>
      <c r="E738" s="32">
        <v>19</v>
      </c>
      <c r="F738" s="32" t="s">
        <v>181</v>
      </c>
      <c r="G738" s="32">
        <v>3.5968</v>
      </c>
      <c r="H738" s="32">
        <v>1.5968</v>
      </c>
      <c r="I738" s="32" t="s">
        <v>174</v>
      </c>
      <c r="J738" s="32">
        <v>2</v>
      </c>
      <c r="K738" s="32" t="s">
        <v>183</v>
      </c>
      <c r="L738" s="18">
        <f t="shared" si="11"/>
        <v>999999999</v>
      </c>
    </row>
    <row r="739" spans="1:12" ht="15" customHeight="1" x14ac:dyDescent="0.25">
      <c r="A739" s="32" t="s">
        <v>186</v>
      </c>
      <c r="B739" s="32" t="s">
        <v>62</v>
      </c>
      <c r="C739" s="32" t="s">
        <v>154</v>
      </c>
      <c r="D739" s="32">
        <v>19.010000000000002</v>
      </c>
      <c r="E739" s="32">
        <v>19.5</v>
      </c>
      <c r="F739" s="32" t="s">
        <v>181</v>
      </c>
      <c r="G739" s="32">
        <v>3.6267999999999998</v>
      </c>
      <c r="H739" s="32">
        <v>1.6268</v>
      </c>
      <c r="I739" s="32" t="s">
        <v>174</v>
      </c>
      <c r="J739" s="32">
        <v>2</v>
      </c>
      <c r="K739" s="32" t="s">
        <v>183</v>
      </c>
      <c r="L739" s="18">
        <f t="shared" si="11"/>
        <v>999999999</v>
      </c>
    </row>
    <row r="740" spans="1:12" ht="15" customHeight="1" x14ac:dyDescent="0.25">
      <c r="A740" s="32" t="s">
        <v>186</v>
      </c>
      <c r="B740" s="32" t="s">
        <v>62</v>
      </c>
      <c r="C740" s="32" t="s">
        <v>154</v>
      </c>
      <c r="D740" s="32">
        <v>19.510000000000002</v>
      </c>
      <c r="E740" s="32">
        <v>20</v>
      </c>
      <c r="F740" s="32" t="s">
        <v>181</v>
      </c>
      <c r="G740" s="32">
        <v>3.6568000000000001</v>
      </c>
      <c r="H740" s="32">
        <v>1.6568000000000001</v>
      </c>
      <c r="I740" s="32" t="s">
        <v>174</v>
      </c>
      <c r="J740" s="32">
        <v>2</v>
      </c>
      <c r="K740" s="32" t="s">
        <v>183</v>
      </c>
      <c r="L740" s="18">
        <f t="shared" si="11"/>
        <v>999999999</v>
      </c>
    </row>
    <row r="741" spans="1:12" ht="15" customHeight="1" x14ac:dyDescent="0.25">
      <c r="A741" s="32" t="s">
        <v>186</v>
      </c>
      <c r="B741" s="32" t="s">
        <v>62</v>
      </c>
      <c r="C741" s="32" t="s">
        <v>154</v>
      </c>
      <c r="D741" s="32">
        <v>20.010000000000002</v>
      </c>
      <c r="E741" s="32">
        <v>20.5</v>
      </c>
      <c r="F741" s="32" t="s">
        <v>181</v>
      </c>
      <c r="G741" s="32">
        <v>3.6867999999999999</v>
      </c>
      <c r="H741" s="32">
        <v>1.6868000000000001</v>
      </c>
      <c r="I741" s="32" t="s">
        <v>174</v>
      </c>
      <c r="J741" s="32">
        <v>2</v>
      </c>
      <c r="K741" s="32" t="s">
        <v>183</v>
      </c>
      <c r="L741" s="18">
        <f t="shared" si="11"/>
        <v>999999999</v>
      </c>
    </row>
    <row r="742" spans="1:12" ht="15" customHeight="1" x14ac:dyDescent="0.25">
      <c r="A742" s="32" t="s">
        <v>186</v>
      </c>
      <c r="B742" s="32" t="s">
        <v>62</v>
      </c>
      <c r="C742" s="32" t="s">
        <v>154</v>
      </c>
      <c r="D742" s="32">
        <v>20.51</v>
      </c>
      <c r="E742" s="32">
        <v>21</v>
      </c>
      <c r="F742" s="32" t="s">
        <v>181</v>
      </c>
      <c r="G742" s="32">
        <v>3.7168000000000001</v>
      </c>
      <c r="H742" s="32">
        <v>1.7168000000000001</v>
      </c>
      <c r="I742" s="32" t="s">
        <v>174</v>
      </c>
      <c r="J742" s="32">
        <v>2</v>
      </c>
      <c r="K742" s="32" t="s">
        <v>183</v>
      </c>
      <c r="L742" s="18">
        <f t="shared" si="11"/>
        <v>999999999</v>
      </c>
    </row>
    <row r="743" spans="1:12" ht="15" customHeight="1" x14ac:dyDescent="0.25">
      <c r="A743" s="32" t="s">
        <v>186</v>
      </c>
      <c r="B743" s="32" t="s">
        <v>62</v>
      </c>
      <c r="C743" s="32" t="s">
        <v>154</v>
      </c>
      <c r="D743" s="32">
        <v>21.01</v>
      </c>
      <c r="E743" s="32">
        <v>21.5</v>
      </c>
      <c r="F743" s="32" t="s">
        <v>181</v>
      </c>
      <c r="G743" s="32">
        <v>3.7467999999999999</v>
      </c>
      <c r="H743" s="32">
        <v>1.7467999999999999</v>
      </c>
      <c r="I743" s="32" t="s">
        <v>174</v>
      </c>
      <c r="J743" s="32">
        <v>2</v>
      </c>
      <c r="K743" s="32" t="s">
        <v>183</v>
      </c>
      <c r="L743" s="18">
        <f t="shared" si="11"/>
        <v>999999999</v>
      </c>
    </row>
    <row r="744" spans="1:12" ht="15" customHeight="1" x14ac:dyDescent="0.25">
      <c r="A744" s="32" t="s">
        <v>186</v>
      </c>
      <c r="B744" s="32" t="s">
        <v>62</v>
      </c>
      <c r="C744" s="32" t="s">
        <v>154</v>
      </c>
      <c r="D744" s="32">
        <v>21.51</v>
      </c>
      <c r="E744" s="32">
        <v>22</v>
      </c>
      <c r="F744" s="32" t="s">
        <v>181</v>
      </c>
      <c r="G744" s="32">
        <v>3.7768000000000002</v>
      </c>
      <c r="H744" s="32">
        <v>1.7767999999999999</v>
      </c>
      <c r="I744" s="32" t="s">
        <v>174</v>
      </c>
      <c r="J744" s="32">
        <v>2</v>
      </c>
      <c r="K744" s="32" t="s">
        <v>183</v>
      </c>
      <c r="L744" s="18">
        <f t="shared" si="11"/>
        <v>999999999</v>
      </c>
    </row>
    <row r="745" spans="1:12" ht="15" customHeight="1" x14ac:dyDescent="0.25">
      <c r="A745" s="32" t="s">
        <v>186</v>
      </c>
      <c r="B745" s="32" t="s">
        <v>62</v>
      </c>
      <c r="C745" s="32" t="s">
        <v>154</v>
      </c>
      <c r="D745" s="32">
        <v>22.01</v>
      </c>
      <c r="E745" s="32">
        <v>22.5</v>
      </c>
      <c r="F745" s="32" t="s">
        <v>181</v>
      </c>
      <c r="G745" s="32">
        <v>3.8068</v>
      </c>
      <c r="H745" s="32">
        <v>1.8068</v>
      </c>
      <c r="I745" s="32" t="s">
        <v>174</v>
      </c>
      <c r="J745" s="32">
        <v>2</v>
      </c>
      <c r="K745" s="32" t="s">
        <v>183</v>
      </c>
      <c r="L745" s="18">
        <f t="shared" si="11"/>
        <v>999999999</v>
      </c>
    </row>
    <row r="746" spans="1:12" ht="15" customHeight="1" x14ac:dyDescent="0.25">
      <c r="A746" s="32" t="s">
        <v>186</v>
      </c>
      <c r="B746" s="32" t="s">
        <v>62</v>
      </c>
      <c r="C746" s="32" t="s">
        <v>154</v>
      </c>
      <c r="D746" s="32">
        <v>22.51</v>
      </c>
      <c r="E746" s="32">
        <v>23</v>
      </c>
      <c r="F746" s="32" t="s">
        <v>181</v>
      </c>
      <c r="G746" s="32">
        <v>3.8368000000000002</v>
      </c>
      <c r="H746" s="32">
        <v>1.8368</v>
      </c>
      <c r="I746" s="32" t="s">
        <v>174</v>
      </c>
      <c r="J746" s="32">
        <v>2</v>
      </c>
      <c r="K746" s="32" t="s">
        <v>183</v>
      </c>
      <c r="L746" s="18">
        <f t="shared" si="11"/>
        <v>999999999</v>
      </c>
    </row>
    <row r="747" spans="1:12" ht="15" customHeight="1" x14ac:dyDescent="0.25">
      <c r="A747" s="32" t="s">
        <v>186</v>
      </c>
      <c r="B747" s="32" t="s">
        <v>62</v>
      </c>
      <c r="C747" s="32" t="s">
        <v>154</v>
      </c>
      <c r="D747" s="32">
        <v>23.01</v>
      </c>
      <c r="E747" s="32">
        <v>23.5</v>
      </c>
      <c r="F747" s="32" t="s">
        <v>181</v>
      </c>
      <c r="G747" s="32">
        <v>3.8668</v>
      </c>
      <c r="H747" s="32">
        <v>1.8668</v>
      </c>
      <c r="I747" s="32" t="s">
        <v>174</v>
      </c>
      <c r="J747" s="32">
        <v>2</v>
      </c>
      <c r="K747" s="32" t="s">
        <v>183</v>
      </c>
      <c r="L747" s="18">
        <f t="shared" si="11"/>
        <v>999999999</v>
      </c>
    </row>
    <row r="748" spans="1:12" ht="15" customHeight="1" x14ac:dyDescent="0.25">
      <c r="A748" s="32" t="s">
        <v>186</v>
      </c>
      <c r="B748" s="32" t="s">
        <v>62</v>
      </c>
      <c r="C748" s="32" t="s">
        <v>154</v>
      </c>
      <c r="D748" s="32">
        <v>23.51</v>
      </c>
      <c r="E748" s="32">
        <v>24</v>
      </c>
      <c r="F748" s="32" t="s">
        <v>181</v>
      </c>
      <c r="G748" s="32">
        <v>3.8967999999999998</v>
      </c>
      <c r="H748" s="32">
        <v>1.8968</v>
      </c>
      <c r="I748" s="32" t="s">
        <v>174</v>
      </c>
      <c r="J748" s="32">
        <v>2</v>
      </c>
      <c r="K748" s="32" t="s">
        <v>183</v>
      </c>
      <c r="L748" s="18">
        <f t="shared" si="11"/>
        <v>999999999</v>
      </c>
    </row>
    <row r="749" spans="1:12" ht="15" customHeight="1" x14ac:dyDescent="0.25">
      <c r="A749" s="32" t="s">
        <v>186</v>
      </c>
      <c r="B749" s="32" t="s">
        <v>62</v>
      </c>
      <c r="C749" s="32" t="s">
        <v>154</v>
      </c>
      <c r="D749" s="32">
        <v>24.01</v>
      </c>
      <c r="E749" s="32">
        <v>24.5</v>
      </c>
      <c r="F749" s="32" t="s">
        <v>181</v>
      </c>
      <c r="G749" s="32">
        <v>3.9268000000000001</v>
      </c>
      <c r="H749" s="32">
        <v>1.9268000000000001</v>
      </c>
      <c r="I749" s="32" t="s">
        <v>174</v>
      </c>
      <c r="J749" s="32">
        <v>2</v>
      </c>
      <c r="K749" s="32" t="s">
        <v>183</v>
      </c>
      <c r="L749" s="18">
        <f t="shared" si="11"/>
        <v>999999999</v>
      </c>
    </row>
    <row r="750" spans="1:12" ht="15" customHeight="1" x14ac:dyDescent="0.25">
      <c r="A750" s="32" t="s">
        <v>186</v>
      </c>
      <c r="B750" s="32" t="s">
        <v>62</v>
      </c>
      <c r="C750" s="32" t="s">
        <v>154</v>
      </c>
      <c r="D750" s="32">
        <v>24.51</v>
      </c>
      <c r="E750" s="32">
        <v>25</v>
      </c>
      <c r="F750" s="32" t="s">
        <v>181</v>
      </c>
      <c r="G750" s="32">
        <v>3.9567999999999999</v>
      </c>
      <c r="H750" s="32">
        <v>1.9568000000000001</v>
      </c>
      <c r="I750" s="32" t="s">
        <v>174</v>
      </c>
      <c r="J750" s="32">
        <v>2</v>
      </c>
      <c r="K750" s="32" t="s">
        <v>183</v>
      </c>
      <c r="L750" s="18">
        <f t="shared" si="11"/>
        <v>999999999</v>
      </c>
    </row>
    <row r="751" spans="1:12" ht="15" customHeight="1" x14ac:dyDescent="0.25">
      <c r="A751" s="32" t="s">
        <v>186</v>
      </c>
      <c r="B751" s="32" t="s">
        <v>62</v>
      </c>
      <c r="C751" s="32" t="s">
        <v>154</v>
      </c>
      <c r="D751" s="32">
        <v>25.01</v>
      </c>
      <c r="E751" s="32">
        <v>25.5</v>
      </c>
      <c r="F751" s="32" t="s">
        <v>181</v>
      </c>
      <c r="G751" s="32">
        <v>3.9868000000000001</v>
      </c>
      <c r="H751" s="32">
        <v>1.9867999999999999</v>
      </c>
      <c r="I751" s="32" t="s">
        <v>174</v>
      </c>
      <c r="J751" s="32">
        <v>2</v>
      </c>
      <c r="K751" s="32" t="s">
        <v>183</v>
      </c>
      <c r="L751" s="18">
        <f t="shared" si="11"/>
        <v>999999999</v>
      </c>
    </row>
    <row r="752" spans="1:12" ht="15" customHeight="1" x14ac:dyDescent="0.25">
      <c r="A752" s="32" t="s">
        <v>186</v>
      </c>
      <c r="B752" s="32" t="s">
        <v>62</v>
      </c>
      <c r="C752" s="32" t="s">
        <v>154</v>
      </c>
      <c r="D752" s="32">
        <v>25.51</v>
      </c>
      <c r="E752" s="32">
        <v>26</v>
      </c>
      <c r="F752" s="32" t="s">
        <v>181</v>
      </c>
      <c r="G752" s="32">
        <v>5.0167999999999999</v>
      </c>
      <c r="H752" s="32">
        <v>2.0167999999999999</v>
      </c>
      <c r="I752" s="32" t="s">
        <v>174</v>
      </c>
      <c r="J752" s="32">
        <v>2</v>
      </c>
      <c r="K752" s="32" t="s">
        <v>183</v>
      </c>
      <c r="L752" s="18">
        <f t="shared" si="11"/>
        <v>999999999</v>
      </c>
    </row>
    <row r="753" spans="1:12" ht="15" customHeight="1" x14ac:dyDescent="0.25">
      <c r="A753" s="32" t="s">
        <v>186</v>
      </c>
      <c r="B753" s="32" t="s">
        <v>62</v>
      </c>
      <c r="C753" s="32" t="s">
        <v>154</v>
      </c>
      <c r="D753" s="32">
        <v>26.01</v>
      </c>
      <c r="E753" s="32">
        <v>26.5</v>
      </c>
      <c r="F753" s="32" t="s">
        <v>181</v>
      </c>
      <c r="G753" s="32">
        <v>5.0468000000000002</v>
      </c>
      <c r="H753" s="32">
        <v>1.0468</v>
      </c>
      <c r="I753" s="32" t="s">
        <v>174</v>
      </c>
      <c r="J753" s="32">
        <v>2</v>
      </c>
      <c r="K753" s="32" t="s">
        <v>183</v>
      </c>
      <c r="L753" s="18">
        <f t="shared" si="11"/>
        <v>999999999</v>
      </c>
    </row>
    <row r="754" spans="1:12" ht="15" customHeight="1" x14ac:dyDescent="0.25">
      <c r="A754" s="32" t="s">
        <v>186</v>
      </c>
      <c r="B754" s="32" t="s">
        <v>62</v>
      </c>
      <c r="C754" s="32" t="s">
        <v>154</v>
      </c>
      <c r="D754" s="32">
        <v>26.51</v>
      </c>
      <c r="E754" s="32">
        <v>27</v>
      </c>
      <c r="F754" s="32" t="s">
        <v>181</v>
      </c>
      <c r="G754" s="32">
        <v>5.0768000000000004</v>
      </c>
      <c r="H754" s="32">
        <v>1.0768</v>
      </c>
      <c r="I754" s="32" t="s">
        <v>174</v>
      </c>
      <c r="J754" s="32">
        <v>2</v>
      </c>
      <c r="K754" s="32" t="s">
        <v>183</v>
      </c>
      <c r="L754" s="18">
        <f t="shared" si="11"/>
        <v>999999999</v>
      </c>
    </row>
    <row r="755" spans="1:12" ht="15" customHeight="1" x14ac:dyDescent="0.25">
      <c r="A755" s="32" t="s">
        <v>186</v>
      </c>
      <c r="B755" s="32" t="s">
        <v>62</v>
      </c>
      <c r="C755" s="32" t="s">
        <v>154</v>
      </c>
      <c r="D755" s="32">
        <v>27.01</v>
      </c>
      <c r="E755" s="32">
        <v>27.5</v>
      </c>
      <c r="F755" s="32" t="s">
        <v>181</v>
      </c>
      <c r="G755" s="32">
        <v>5.1067999999999998</v>
      </c>
      <c r="H755" s="32">
        <v>1.1068</v>
      </c>
      <c r="I755" s="32" t="s">
        <v>174</v>
      </c>
      <c r="J755" s="32">
        <v>2</v>
      </c>
      <c r="K755" s="32" t="s">
        <v>183</v>
      </c>
      <c r="L755" s="18">
        <f t="shared" si="11"/>
        <v>999999999</v>
      </c>
    </row>
    <row r="756" spans="1:12" ht="15" customHeight="1" x14ac:dyDescent="0.25">
      <c r="A756" s="32" t="s">
        <v>186</v>
      </c>
      <c r="B756" s="32" t="s">
        <v>62</v>
      </c>
      <c r="C756" s="32" t="s">
        <v>154</v>
      </c>
      <c r="D756" s="32">
        <v>27.51</v>
      </c>
      <c r="E756" s="32">
        <v>28</v>
      </c>
      <c r="F756" s="32" t="s">
        <v>181</v>
      </c>
      <c r="G756" s="32">
        <v>5.1368</v>
      </c>
      <c r="H756" s="32">
        <v>3.1368</v>
      </c>
      <c r="I756" s="32" t="s">
        <v>174</v>
      </c>
      <c r="J756" s="32">
        <v>2</v>
      </c>
      <c r="K756" s="32" t="s">
        <v>183</v>
      </c>
      <c r="L756" s="18">
        <f t="shared" si="11"/>
        <v>999999999</v>
      </c>
    </row>
    <row r="757" spans="1:12" ht="15" customHeight="1" x14ac:dyDescent="0.25">
      <c r="A757" s="32" t="s">
        <v>186</v>
      </c>
      <c r="B757" s="32" t="s">
        <v>62</v>
      </c>
      <c r="C757" s="32" t="s">
        <v>154</v>
      </c>
      <c r="D757" s="32">
        <v>28.01</v>
      </c>
      <c r="E757" s="32">
        <v>28.5</v>
      </c>
      <c r="F757" s="32" t="s">
        <v>181</v>
      </c>
      <c r="G757" s="32">
        <v>5.1668000000000003</v>
      </c>
      <c r="H757" s="32">
        <v>2.1667999999999998</v>
      </c>
      <c r="I757" s="32" t="s">
        <v>174</v>
      </c>
      <c r="J757" s="32">
        <v>2</v>
      </c>
      <c r="K757" s="32" t="s">
        <v>183</v>
      </c>
      <c r="L757" s="18">
        <f t="shared" si="11"/>
        <v>999999999</v>
      </c>
    </row>
    <row r="758" spans="1:12" ht="15" customHeight="1" x14ac:dyDescent="0.25">
      <c r="A758" s="32" t="s">
        <v>186</v>
      </c>
      <c r="B758" s="32" t="s">
        <v>62</v>
      </c>
      <c r="C758" s="32" t="s">
        <v>154</v>
      </c>
      <c r="D758" s="32">
        <v>28.51</v>
      </c>
      <c r="E758" s="32">
        <v>29</v>
      </c>
      <c r="F758" s="32" t="s">
        <v>181</v>
      </c>
      <c r="G758" s="32">
        <v>5.1967999999999996</v>
      </c>
      <c r="H758" s="32">
        <v>2.1968000000000001</v>
      </c>
      <c r="I758" s="32" t="s">
        <v>174</v>
      </c>
      <c r="J758" s="32">
        <v>2</v>
      </c>
      <c r="K758" s="32" t="s">
        <v>183</v>
      </c>
      <c r="L758" s="18">
        <f t="shared" si="11"/>
        <v>999999999</v>
      </c>
    </row>
    <row r="759" spans="1:12" ht="15" customHeight="1" x14ac:dyDescent="0.25">
      <c r="A759" s="32" t="s">
        <v>186</v>
      </c>
      <c r="B759" s="32" t="s">
        <v>62</v>
      </c>
      <c r="C759" s="32" t="s">
        <v>154</v>
      </c>
      <c r="D759" s="32">
        <v>29.01</v>
      </c>
      <c r="E759" s="32">
        <v>29.5</v>
      </c>
      <c r="F759" s="32" t="s">
        <v>181</v>
      </c>
      <c r="G759" s="32">
        <v>5.2267999999999999</v>
      </c>
      <c r="H759" s="32">
        <v>1.2267999999999999</v>
      </c>
      <c r="I759" s="32" t="s">
        <v>174</v>
      </c>
      <c r="J759" s="32">
        <v>2</v>
      </c>
      <c r="K759" s="32" t="s">
        <v>183</v>
      </c>
      <c r="L759" s="18">
        <f t="shared" si="11"/>
        <v>999999999</v>
      </c>
    </row>
    <row r="760" spans="1:12" ht="15" customHeight="1" x14ac:dyDescent="0.25">
      <c r="A760" s="32" t="s">
        <v>186</v>
      </c>
      <c r="B760" s="32" t="s">
        <v>62</v>
      </c>
      <c r="C760" s="32" t="s">
        <v>154</v>
      </c>
      <c r="D760" s="32">
        <v>29.51</v>
      </c>
      <c r="E760" s="32">
        <v>30</v>
      </c>
      <c r="F760" s="32" t="s">
        <v>181</v>
      </c>
      <c r="G760" s="32">
        <v>5.2568000000000001</v>
      </c>
      <c r="H760" s="32">
        <v>1.2567999999999999</v>
      </c>
      <c r="I760" s="32" t="s">
        <v>174</v>
      </c>
      <c r="J760" s="32">
        <v>2</v>
      </c>
      <c r="K760" s="32" t="s">
        <v>183</v>
      </c>
      <c r="L760" s="18">
        <f t="shared" si="11"/>
        <v>999999999</v>
      </c>
    </row>
    <row r="761" spans="1:12" ht="15" customHeight="1" x14ac:dyDescent="0.25">
      <c r="A761" s="32" t="s">
        <v>186</v>
      </c>
      <c r="B761" s="32" t="s">
        <v>62</v>
      </c>
      <c r="C761" s="32" t="s">
        <v>154</v>
      </c>
      <c r="D761" s="32">
        <v>30.01</v>
      </c>
      <c r="E761" s="32">
        <v>30.5</v>
      </c>
      <c r="F761" s="32" t="s">
        <v>181</v>
      </c>
      <c r="G761" s="32">
        <v>5.2868000000000004</v>
      </c>
      <c r="H761" s="32">
        <v>2.2867999999999999</v>
      </c>
      <c r="I761" s="32" t="s">
        <v>174</v>
      </c>
      <c r="J761" s="32">
        <v>2</v>
      </c>
      <c r="K761" s="32" t="s">
        <v>183</v>
      </c>
      <c r="L761" s="18">
        <f t="shared" si="11"/>
        <v>999999999</v>
      </c>
    </row>
    <row r="762" spans="1:12" ht="15" customHeight="1" x14ac:dyDescent="0.25">
      <c r="A762" s="32" t="s">
        <v>186</v>
      </c>
      <c r="B762" s="32" t="s">
        <v>62</v>
      </c>
      <c r="C762" s="32" t="s">
        <v>154</v>
      </c>
      <c r="D762" s="32">
        <v>30.51</v>
      </c>
      <c r="E762" s="32">
        <v>31</v>
      </c>
      <c r="F762" s="32" t="s">
        <v>181</v>
      </c>
      <c r="G762" s="32">
        <v>5.3167999999999997</v>
      </c>
      <c r="H762" s="32">
        <v>3.3168000000000002</v>
      </c>
      <c r="I762" s="32" t="s">
        <v>174</v>
      </c>
      <c r="J762" s="32">
        <v>2</v>
      </c>
      <c r="K762" s="32" t="s">
        <v>183</v>
      </c>
      <c r="L762" s="18">
        <f t="shared" si="11"/>
        <v>999999999</v>
      </c>
    </row>
    <row r="763" spans="1:12" ht="15" customHeight="1" x14ac:dyDescent="0.25">
      <c r="A763" s="32" t="s">
        <v>186</v>
      </c>
      <c r="B763" s="32" t="s">
        <v>62</v>
      </c>
      <c r="C763" s="32" t="s">
        <v>154</v>
      </c>
      <c r="D763" s="32">
        <v>31.01</v>
      </c>
      <c r="E763" s="32">
        <v>31.5</v>
      </c>
      <c r="F763" s="32" t="s">
        <v>181</v>
      </c>
      <c r="G763" s="32">
        <v>5.3468</v>
      </c>
      <c r="H763" s="32">
        <v>3.3468</v>
      </c>
      <c r="I763" s="32" t="s">
        <v>174</v>
      </c>
      <c r="J763" s="32">
        <v>2</v>
      </c>
      <c r="K763" s="32" t="s">
        <v>183</v>
      </c>
      <c r="L763" s="18">
        <f t="shared" si="11"/>
        <v>999999999</v>
      </c>
    </row>
    <row r="764" spans="1:12" ht="15" customHeight="1" x14ac:dyDescent="0.25">
      <c r="A764" s="32" t="s">
        <v>186</v>
      </c>
      <c r="B764" s="32" t="s">
        <v>62</v>
      </c>
      <c r="C764" s="32" t="s">
        <v>154</v>
      </c>
      <c r="D764" s="32">
        <v>31.51</v>
      </c>
      <c r="E764" s="32">
        <v>32</v>
      </c>
      <c r="F764" s="32" t="s">
        <v>181</v>
      </c>
      <c r="G764" s="32">
        <v>5.3768000000000002</v>
      </c>
      <c r="H764" s="32">
        <v>3.3767999999999998</v>
      </c>
      <c r="I764" s="32" t="s">
        <v>174</v>
      </c>
      <c r="J764" s="32">
        <v>2</v>
      </c>
      <c r="K764" s="32" t="s">
        <v>183</v>
      </c>
      <c r="L764" s="18">
        <f t="shared" si="11"/>
        <v>999999999</v>
      </c>
    </row>
    <row r="765" spans="1:12" ht="15" customHeight="1" x14ac:dyDescent="0.25">
      <c r="A765" s="32" t="s">
        <v>186</v>
      </c>
      <c r="B765" s="32" t="s">
        <v>62</v>
      </c>
      <c r="C765" s="32" t="s">
        <v>154</v>
      </c>
      <c r="D765" s="32">
        <v>32.01</v>
      </c>
      <c r="E765" s="32">
        <v>32.5</v>
      </c>
      <c r="F765" s="32" t="s">
        <v>181</v>
      </c>
      <c r="G765" s="32">
        <v>5.4067999999999996</v>
      </c>
      <c r="H765" s="32">
        <v>3.4068000000000001</v>
      </c>
      <c r="I765" s="32" t="s">
        <v>174</v>
      </c>
      <c r="J765" s="32">
        <v>2</v>
      </c>
      <c r="K765" s="32" t="s">
        <v>183</v>
      </c>
      <c r="L765" s="18">
        <f t="shared" si="11"/>
        <v>999999999</v>
      </c>
    </row>
    <row r="766" spans="1:12" ht="15" customHeight="1" x14ac:dyDescent="0.25">
      <c r="A766" s="32" t="s">
        <v>186</v>
      </c>
      <c r="B766" s="32" t="s">
        <v>62</v>
      </c>
      <c r="C766" s="32" t="s">
        <v>154</v>
      </c>
      <c r="D766" s="32">
        <v>32.51</v>
      </c>
      <c r="E766" s="32">
        <v>33</v>
      </c>
      <c r="F766" s="32" t="s">
        <v>181</v>
      </c>
      <c r="G766" s="32">
        <v>5.4367999999999999</v>
      </c>
      <c r="H766" s="32">
        <v>2.4367999999999999</v>
      </c>
      <c r="I766" s="32" t="s">
        <v>174</v>
      </c>
      <c r="J766" s="32">
        <v>2</v>
      </c>
      <c r="K766" s="32" t="s">
        <v>183</v>
      </c>
      <c r="L766" s="18">
        <f t="shared" si="11"/>
        <v>999999999</v>
      </c>
    </row>
    <row r="767" spans="1:12" ht="15" customHeight="1" x14ac:dyDescent="0.25">
      <c r="A767" s="32" t="s">
        <v>186</v>
      </c>
      <c r="B767" s="32" t="s">
        <v>62</v>
      </c>
      <c r="C767" s="32" t="s">
        <v>154</v>
      </c>
      <c r="D767" s="32">
        <v>33.01</v>
      </c>
      <c r="E767" s="32">
        <v>33.5</v>
      </c>
      <c r="F767" s="32" t="s">
        <v>181</v>
      </c>
      <c r="G767" s="32">
        <v>5.4668000000000001</v>
      </c>
      <c r="H767" s="32">
        <v>1.4668000000000001</v>
      </c>
      <c r="I767" s="32" t="s">
        <v>174</v>
      </c>
      <c r="J767" s="32">
        <v>2</v>
      </c>
      <c r="K767" s="32" t="s">
        <v>183</v>
      </c>
      <c r="L767" s="18">
        <f t="shared" si="11"/>
        <v>999999999</v>
      </c>
    </row>
    <row r="768" spans="1:12" ht="15" customHeight="1" x14ac:dyDescent="0.25">
      <c r="A768" s="32" t="s">
        <v>186</v>
      </c>
      <c r="B768" s="32" t="s">
        <v>62</v>
      </c>
      <c r="C768" s="32" t="s">
        <v>154</v>
      </c>
      <c r="D768" s="32">
        <v>33.51</v>
      </c>
      <c r="E768" s="32">
        <v>34</v>
      </c>
      <c r="F768" s="32" t="s">
        <v>181</v>
      </c>
      <c r="G768" s="32">
        <v>5.4968000000000004</v>
      </c>
      <c r="H768" s="32">
        <v>1.4967999999999999</v>
      </c>
      <c r="I768" s="32" t="s">
        <v>174</v>
      </c>
      <c r="J768" s="32">
        <v>2</v>
      </c>
      <c r="K768" s="32" t="s">
        <v>183</v>
      </c>
      <c r="L768" s="18">
        <f t="shared" si="11"/>
        <v>999999999</v>
      </c>
    </row>
    <row r="769" spans="1:12" ht="15" customHeight="1" x14ac:dyDescent="0.25">
      <c r="A769" s="32" t="s">
        <v>186</v>
      </c>
      <c r="B769" s="32" t="s">
        <v>62</v>
      </c>
      <c r="C769" s="32" t="s">
        <v>154</v>
      </c>
      <c r="D769" s="32">
        <v>34.01</v>
      </c>
      <c r="E769" s="32">
        <v>34.5</v>
      </c>
      <c r="F769" s="32" t="s">
        <v>181</v>
      </c>
      <c r="G769" s="32">
        <v>5.5267999999999997</v>
      </c>
      <c r="H769" s="32">
        <v>2.5268000000000002</v>
      </c>
      <c r="I769" s="32" t="s">
        <v>174</v>
      </c>
      <c r="J769" s="32">
        <v>2</v>
      </c>
      <c r="K769" s="32" t="s">
        <v>183</v>
      </c>
      <c r="L769" s="18">
        <f t="shared" si="11"/>
        <v>999999999</v>
      </c>
    </row>
    <row r="770" spans="1:12" ht="15" customHeight="1" x14ac:dyDescent="0.25">
      <c r="A770" s="32" t="s">
        <v>186</v>
      </c>
      <c r="B770" s="32" t="s">
        <v>62</v>
      </c>
      <c r="C770" s="32" t="s">
        <v>154</v>
      </c>
      <c r="D770" s="32">
        <v>34.51</v>
      </c>
      <c r="E770" s="32">
        <v>35</v>
      </c>
      <c r="F770" s="32" t="s">
        <v>181</v>
      </c>
      <c r="G770" s="32">
        <v>5.5568</v>
      </c>
      <c r="H770" s="32">
        <v>2.5568</v>
      </c>
      <c r="I770" s="32" t="s">
        <v>174</v>
      </c>
      <c r="J770" s="32">
        <v>2</v>
      </c>
      <c r="K770" s="32" t="s">
        <v>183</v>
      </c>
      <c r="L770" s="18">
        <f t="shared" ref="L770:L833" si="12">IF(AND(B770=Quote_Port,D770&lt;=Quote_Weight,Quote_Weight&lt;=E770,OR(Quote_2Day="No",J770&lt;=2)),MAX(G770,Quote_Weight*H770)*Quote_USDINR,999999999)</f>
        <v>999999999</v>
      </c>
    </row>
    <row r="771" spans="1:12" ht="15" customHeight="1" x14ac:dyDescent="0.25">
      <c r="A771" s="32" t="s">
        <v>186</v>
      </c>
      <c r="B771" s="32" t="s">
        <v>62</v>
      </c>
      <c r="C771" s="32" t="s">
        <v>154</v>
      </c>
      <c r="D771" s="32">
        <v>35.01</v>
      </c>
      <c r="E771" s="32">
        <v>35.5</v>
      </c>
      <c r="F771" s="32" t="s">
        <v>181</v>
      </c>
      <c r="G771" s="32">
        <v>5.5868000000000002</v>
      </c>
      <c r="H771" s="32">
        <v>3.5868000000000002</v>
      </c>
      <c r="I771" s="32" t="s">
        <v>174</v>
      </c>
      <c r="J771" s="32">
        <v>2</v>
      </c>
      <c r="K771" s="32" t="s">
        <v>183</v>
      </c>
      <c r="L771" s="18">
        <f t="shared" si="12"/>
        <v>999999999</v>
      </c>
    </row>
    <row r="772" spans="1:12" ht="15" customHeight="1" x14ac:dyDescent="0.25">
      <c r="A772" s="32" t="s">
        <v>186</v>
      </c>
      <c r="B772" s="32" t="s">
        <v>62</v>
      </c>
      <c r="C772" s="32" t="s">
        <v>154</v>
      </c>
      <c r="D772" s="32">
        <v>35.51</v>
      </c>
      <c r="E772" s="32">
        <v>36</v>
      </c>
      <c r="F772" s="32" t="s">
        <v>181</v>
      </c>
      <c r="G772" s="32">
        <v>5.6167999999999996</v>
      </c>
      <c r="H772" s="32">
        <v>1.6168</v>
      </c>
      <c r="I772" s="32" t="s">
        <v>174</v>
      </c>
      <c r="J772" s="32">
        <v>2</v>
      </c>
      <c r="K772" s="32" t="s">
        <v>183</v>
      </c>
      <c r="L772" s="18">
        <f t="shared" si="12"/>
        <v>999999999</v>
      </c>
    </row>
    <row r="773" spans="1:12" ht="15" customHeight="1" x14ac:dyDescent="0.25">
      <c r="A773" s="32" t="s">
        <v>186</v>
      </c>
      <c r="B773" s="32" t="s">
        <v>62</v>
      </c>
      <c r="C773" s="32" t="s">
        <v>154</v>
      </c>
      <c r="D773" s="32">
        <v>36.01</v>
      </c>
      <c r="E773" s="32">
        <v>36.5</v>
      </c>
      <c r="F773" s="32" t="s">
        <v>181</v>
      </c>
      <c r="G773" s="32">
        <v>5.6467999999999998</v>
      </c>
      <c r="H773" s="32">
        <v>3.6467999999999998</v>
      </c>
      <c r="I773" s="32" t="s">
        <v>174</v>
      </c>
      <c r="J773" s="32">
        <v>2</v>
      </c>
      <c r="K773" s="32" t="s">
        <v>183</v>
      </c>
      <c r="L773" s="18">
        <f t="shared" si="12"/>
        <v>999999999</v>
      </c>
    </row>
    <row r="774" spans="1:12" ht="15" customHeight="1" x14ac:dyDescent="0.25">
      <c r="A774" s="32" t="s">
        <v>186</v>
      </c>
      <c r="B774" s="32" t="s">
        <v>62</v>
      </c>
      <c r="C774" s="32" t="s">
        <v>154</v>
      </c>
      <c r="D774" s="32">
        <v>36.51</v>
      </c>
      <c r="E774" s="32">
        <v>37</v>
      </c>
      <c r="F774" s="32" t="s">
        <v>181</v>
      </c>
      <c r="G774" s="32">
        <v>5.6768000000000001</v>
      </c>
      <c r="H774" s="32">
        <v>2.6768000000000001</v>
      </c>
      <c r="I774" s="32" t="s">
        <v>174</v>
      </c>
      <c r="J774" s="32">
        <v>2</v>
      </c>
      <c r="K774" s="32" t="s">
        <v>183</v>
      </c>
      <c r="L774" s="18">
        <f t="shared" si="12"/>
        <v>999999999</v>
      </c>
    </row>
    <row r="775" spans="1:12" ht="15" customHeight="1" x14ac:dyDescent="0.25">
      <c r="A775" s="32" t="s">
        <v>186</v>
      </c>
      <c r="B775" s="32" t="s">
        <v>62</v>
      </c>
      <c r="C775" s="32" t="s">
        <v>154</v>
      </c>
      <c r="D775" s="32">
        <v>37.01</v>
      </c>
      <c r="E775" s="32">
        <v>37.5</v>
      </c>
      <c r="F775" s="32" t="s">
        <v>181</v>
      </c>
      <c r="G775" s="32">
        <v>5.7068000000000003</v>
      </c>
      <c r="H775" s="32">
        <v>3.7067999999999999</v>
      </c>
      <c r="I775" s="32" t="s">
        <v>174</v>
      </c>
      <c r="J775" s="32">
        <v>2</v>
      </c>
      <c r="K775" s="32" t="s">
        <v>183</v>
      </c>
      <c r="L775" s="18">
        <f t="shared" si="12"/>
        <v>999999999</v>
      </c>
    </row>
    <row r="776" spans="1:12" ht="15" customHeight="1" x14ac:dyDescent="0.25">
      <c r="A776" s="32" t="s">
        <v>186</v>
      </c>
      <c r="B776" s="32" t="s">
        <v>62</v>
      </c>
      <c r="C776" s="32" t="s">
        <v>154</v>
      </c>
      <c r="D776" s="32">
        <v>37.51</v>
      </c>
      <c r="E776" s="32">
        <v>38</v>
      </c>
      <c r="F776" s="32" t="s">
        <v>181</v>
      </c>
      <c r="G776" s="32">
        <v>5.7367999999999997</v>
      </c>
      <c r="H776" s="32">
        <v>2.7368000000000001</v>
      </c>
      <c r="I776" s="32" t="s">
        <v>174</v>
      </c>
      <c r="J776" s="32">
        <v>2</v>
      </c>
      <c r="K776" s="32" t="s">
        <v>183</v>
      </c>
      <c r="L776" s="18">
        <f t="shared" si="12"/>
        <v>999999999</v>
      </c>
    </row>
    <row r="777" spans="1:12" ht="15" customHeight="1" x14ac:dyDescent="0.25">
      <c r="A777" s="32" t="s">
        <v>186</v>
      </c>
      <c r="B777" s="32" t="s">
        <v>62</v>
      </c>
      <c r="C777" s="32" t="s">
        <v>154</v>
      </c>
      <c r="D777" s="32">
        <v>38.01</v>
      </c>
      <c r="E777" s="32">
        <v>38.5</v>
      </c>
      <c r="F777" s="32" t="s">
        <v>181</v>
      </c>
      <c r="G777" s="32">
        <v>5.7667999999999999</v>
      </c>
      <c r="H777" s="32">
        <v>2.7667999999999999</v>
      </c>
      <c r="I777" s="32" t="s">
        <v>174</v>
      </c>
      <c r="J777" s="32">
        <v>2</v>
      </c>
      <c r="K777" s="32" t="s">
        <v>183</v>
      </c>
      <c r="L777" s="18">
        <f t="shared" si="12"/>
        <v>999999999</v>
      </c>
    </row>
    <row r="778" spans="1:12" ht="15" customHeight="1" x14ac:dyDescent="0.25">
      <c r="A778" s="32" t="s">
        <v>186</v>
      </c>
      <c r="B778" s="32" t="s">
        <v>62</v>
      </c>
      <c r="C778" s="32" t="s">
        <v>154</v>
      </c>
      <c r="D778" s="32">
        <v>38.51</v>
      </c>
      <c r="E778" s="32">
        <v>39</v>
      </c>
      <c r="F778" s="32" t="s">
        <v>181</v>
      </c>
      <c r="G778" s="32">
        <v>5.7968000000000002</v>
      </c>
      <c r="H778" s="32">
        <v>1.7968</v>
      </c>
      <c r="I778" s="32" t="s">
        <v>174</v>
      </c>
      <c r="J778" s="32">
        <v>2</v>
      </c>
      <c r="K778" s="32" t="s">
        <v>183</v>
      </c>
      <c r="L778" s="18">
        <f t="shared" si="12"/>
        <v>999999999</v>
      </c>
    </row>
    <row r="779" spans="1:12" ht="15" customHeight="1" x14ac:dyDescent="0.25">
      <c r="A779" s="32" t="s">
        <v>186</v>
      </c>
      <c r="B779" s="32" t="s">
        <v>62</v>
      </c>
      <c r="C779" s="32" t="s">
        <v>154</v>
      </c>
      <c r="D779" s="32">
        <v>39.01</v>
      </c>
      <c r="E779" s="32">
        <v>39.5</v>
      </c>
      <c r="F779" s="32" t="s">
        <v>181</v>
      </c>
      <c r="G779" s="32">
        <v>5.8268000000000004</v>
      </c>
      <c r="H779" s="32">
        <v>2.8268</v>
      </c>
      <c r="I779" s="32" t="s">
        <v>174</v>
      </c>
      <c r="J779" s="32">
        <v>2</v>
      </c>
      <c r="K779" s="32" t="s">
        <v>183</v>
      </c>
      <c r="L779" s="18">
        <f t="shared" si="12"/>
        <v>999999999</v>
      </c>
    </row>
    <row r="780" spans="1:12" ht="15" customHeight="1" x14ac:dyDescent="0.25">
      <c r="A780" s="32" t="s">
        <v>186</v>
      </c>
      <c r="B780" s="32" t="s">
        <v>62</v>
      </c>
      <c r="C780" s="32" t="s">
        <v>154</v>
      </c>
      <c r="D780" s="32">
        <v>39.51</v>
      </c>
      <c r="E780" s="32">
        <v>40</v>
      </c>
      <c r="F780" s="32" t="s">
        <v>181</v>
      </c>
      <c r="G780" s="32">
        <v>5.8567999999999998</v>
      </c>
      <c r="H780" s="32">
        <v>1.8568</v>
      </c>
      <c r="I780" s="32" t="s">
        <v>174</v>
      </c>
      <c r="J780" s="32">
        <v>2</v>
      </c>
      <c r="K780" s="32" t="s">
        <v>183</v>
      </c>
      <c r="L780" s="18">
        <f t="shared" si="12"/>
        <v>999999999</v>
      </c>
    </row>
    <row r="781" spans="1:12" ht="15" customHeight="1" x14ac:dyDescent="0.25">
      <c r="A781" s="32" t="s">
        <v>186</v>
      </c>
      <c r="B781" s="32" t="s">
        <v>62</v>
      </c>
      <c r="C781" s="32" t="s">
        <v>154</v>
      </c>
      <c r="D781" s="32">
        <v>40.01</v>
      </c>
      <c r="E781" s="32">
        <v>40.5</v>
      </c>
      <c r="F781" s="32" t="s">
        <v>181</v>
      </c>
      <c r="G781" s="32">
        <v>5.8868</v>
      </c>
      <c r="H781" s="32">
        <v>1.8868</v>
      </c>
      <c r="I781" s="32" t="s">
        <v>174</v>
      </c>
      <c r="J781" s="32">
        <v>2</v>
      </c>
      <c r="K781" s="32" t="s">
        <v>183</v>
      </c>
      <c r="L781" s="18">
        <f t="shared" si="12"/>
        <v>999999999</v>
      </c>
    </row>
    <row r="782" spans="1:12" ht="15" customHeight="1" x14ac:dyDescent="0.25">
      <c r="A782" s="32" t="s">
        <v>186</v>
      </c>
      <c r="B782" s="32" t="s">
        <v>62</v>
      </c>
      <c r="C782" s="32" t="s">
        <v>154</v>
      </c>
      <c r="D782" s="32">
        <v>40.51</v>
      </c>
      <c r="E782" s="32">
        <v>41</v>
      </c>
      <c r="F782" s="32" t="s">
        <v>181</v>
      </c>
      <c r="G782" s="32">
        <v>5.9168000000000003</v>
      </c>
      <c r="H782" s="32">
        <v>3.9167999999999998</v>
      </c>
      <c r="I782" s="32" t="s">
        <v>174</v>
      </c>
      <c r="J782" s="32">
        <v>2</v>
      </c>
      <c r="K782" s="32" t="s">
        <v>183</v>
      </c>
      <c r="L782" s="18">
        <f t="shared" si="12"/>
        <v>999999999</v>
      </c>
    </row>
    <row r="783" spans="1:12" ht="15" customHeight="1" x14ac:dyDescent="0.25">
      <c r="A783" s="32" t="s">
        <v>186</v>
      </c>
      <c r="B783" s="32" t="s">
        <v>62</v>
      </c>
      <c r="C783" s="32" t="s">
        <v>154</v>
      </c>
      <c r="D783" s="32">
        <v>41.01</v>
      </c>
      <c r="E783" s="32">
        <v>41.5</v>
      </c>
      <c r="F783" s="32" t="s">
        <v>181</v>
      </c>
      <c r="G783" s="32">
        <v>5.9467999999999996</v>
      </c>
      <c r="H783" s="32">
        <v>2.9468000000000001</v>
      </c>
      <c r="I783" s="32" t="s">
        <v>174</v>
      </c>
      <c r="J783" s="32">
        <v>2</v>
      </c>
      <c r="K783" s="32" t="s">
        <v>183</v>
      </c>
      <c r="L783" s="18">
        <f t="shared" si="12"/>
        <v>999999999</v>
      </c>
    </row>
    <row r="784" spans="1:12" ht="15" customHeight="1" x14ac:dyDescent="0.25">
      <c r="A784" s="32" t="s">
        <v>186</v>
      </c>
      <c r="B784" s="32" t="s">
        <v>62</v>
      </c>
      <c r="C784" s="32" t="s">
        <v>154</v>
      </c>
      <c r="D784" s="32">
        <v>41.51</v>
      </c>
      <c r="E784" s="32">
        <v>42</v>
      </c>
      <c r="F784" s="32" t="s">
        <v>181</v>
      </c>
      <c r="G784" s="32">
        <v>5.9767999999999999</v>
      </c>
      <c r="H784" s="32">
        <v>1.9767999999999999</v>
      </c>
      <c r="I784" s="32" t="s">
        <v>174</v>
      </c>
      <c r="J784" s="32">
        <v>2</v>
      </c>
      <c r="K784" s="32" t="s">
        <v>183</v>
      </c>
      <c r="L784" s="18">
        <f t="shared" si="12"/>
        <v>999999999</v>
      </c>
    </row>
    <row r="785" spans="1:12" ht="15" customHeight="1" x14ac:dyDescent="0.25">
      <c r="A785" s="32" t="s">
        <v>186</v>
      </c>
      <c r="B785" s="32" t="s">
        <v>62</v>
      </c>
      <c r="C785" s="32" t="s">
        <v>154</v>
      </c>
      <c r="D785" s="32">
        <v>42.01</v>
      </c>
      <c r="E785" s="32">
        <v>42.5</v>
      </c>
      <c r="F785" s="32" t="s">
        <v>181</v>
      </c>
      <c r="G785" s="32">
        <v>7.0068000000000001</v>
      </c>
      <c r="H785" s="32">
        <v>4.0068000000000001</v>
      </c>
      <c r="I785" s="32" t="s">
        <v>174</v>
      </c>
      <c r="J785" s="32">
        <v>2</v>
      </c>
      <c r="K785" s="32" t="s">
        <v>183</v>
      </c>
      <c r="L785" s="18">
        <f t="shared" si="12"/>
        <v>999999999</v>
      </c>
    </row>
    <row r="786" spans="1:12" ht="15" customHeight="1" x14ac:dyDescent="0.25">
      <c r="A786" s="32" t="s">
        <v>186</v>
      </c>
      <c r="B786" s="32" t="s">
        <v>62</v>
      </c>
      <c r="C786" s="32" t="s">
        <v>154</v>
      </c>
      <c r="D786" s="32">
        <v>42.51</v>
      </c>
      <c r="E786" s="32">
        <v>43</v>
      </c>
      <c r="F786" s="32" t="s">
        <v>181</v>
      </c>
      <c r="G786" s="32">
        <v>7.0368000000000004</v>
      </c>
      <c r="H786" s="32">
        <v>3.0367999999999999</v>
      </c>
      <c r="I786" s="32" t="s">
        <v>174</v>
      </c>
      <c r="J786" s="32">
        <v>2</v>
      </c>
      <c r="K786" s="32" t="s">
        <v>183</v>
      </c>
      <c r="L786" s="18">
        <f t="shared" si="12"/>
        <v>999999999</v>
      </c>
    </row>
    <row r="787" spans="1:12" ht="15" customHeight="1" x14ac:dyDescent="0.25">
      <c r="A787" s="32" t="s">
        <v>186</v>
      </c>
      <c r="B787" s="32" t="s">
        <v>62</v>
      </c>
      <c r="C787" s="32" t="s">
        <v>154</v>
      </c>
      <c r="D787" s="32">
        <v>43.01</v>
      </c>
      <c r="E787" s="32">
        <v>43.5</v>
      </c>
      <c r="F787" s="32" t="s">
        <v>181</v>
      </c>
      <c r="G787" s="32">
        <v>7.0667999999999997</v>
      </c>
      <c r="H787" s="32">
        <v>2.0668000000000002</v>
      </c>
      <c r="I787" s="32" t="s">
        <v>174</v>
      </c>
      <c r="J787" s="32">
        <v>2</v>
      </c>
      <c r="K787" s="32" t="s">
        <v>183</v>
      </c>
      <c r="L787" s="18">
        <f t="shared" si="12"/>
        <v>999999999</v>
      </c>
    </row>
    <row r="788" spans="1:12" ht="15" customHeight="1" x14ac:dyDescent="0.25">
      <c r="A788" s="32" t="s">
        <v>186</v>
      </c>
      <c r="B788" s="32" t="s">
        <v>62</v>
      </c>
      <c r="C788" s="32" t="s">
        <v>154</v>
      </c>
      <c r="D788" s="32">
        <v>43.51</v>
      </c>
      <c r="E788" s="32">
        <v>44</v>
      </c>
      <c r="F788" s="32" t="s">
        <v>181</v>
      </c>
      <c r="G788" s="32">
        <v>7.0968</v>
      </c>
      <c r="H788" s="32">
        <v>2.0968</v>
      </c>
      <c r="I788" s="32" t="s">
        <v>174</v>
      </c>
      <c r="J788" s="32">
        <v>2</v>
      </c>
      <c r="K788" s="32" t="s">
        <v>183</v>
      </c>
      <c r="L788" s="18">
        <f t="shared" si="12"/>
        <v>999999999</v>
      </c>
    </row>
    <row r="789" spans="1:12" ht="15" customHeight="1" x14ac:dyDescent="0.25">
      <c r="A789" s="32" t="s">
        <v>186</v>
      </c>
      <c r="B789" s="32" t="s">
        <v>62</v>
      </c>
      <c r="C789" s="32" t="s">
        <v>154</v>
      </c>
      <c r="D789" s="32">
        <v>44.01</v>
      </c>
      <c r="E789" s="32">
        <v>44.5</v>
      </c>
      <c r="F789" s="32" t="s">
        <v>181</v>
      </c>
      <c r="G789" s="32">
        <v>7.1268000000000002</v>
      </c>
      <c r="H789" s="32">
        <v>2.1267999999999998</v>
      </c>
      <c r="I789" s="32" t="s">
        <v>174</v>
      </c>
      <c r="J789" s="32">
        <v>2</v>
      </c>
      <c r="K789" s="32" t="s">
        <v>183</v>
      </c>
      <c r="L789" s="18">
        <f t="shared" si="12"/>
        <v>999999999</v>
      </c>
    </row>
    <row r="790" spans="1:12" ht="15" customHeight="1" x14ac:dyDescent="0.25">
      <c r="A790" s="32" t="s">
        <v>186</v>
      </c>
      <c r="B790" s="32" t="s">
        <v>62</v>
      </c>
      <c r="C790" s="32" t="s">
        <v>154</v>
      </c>
      <c r="D790" s="32">
        <v>44.51</v>
      </c>
      <c r="E790" s="32">
        <v>45</v>
      </c>
      <c r="F790" s="32" t="s">
        <v>181</v>
      </c>
      <c r="G790" s="32">
        <v>7.1567999999999996</v>
      </c>
      <c r="H790" s="32">
        <v>4.1567999999999996</v>
      </c>
      <c r="I790" s="32" t="s">
        <v>174</v>
      </c>
      <c r="J790" s="32">
        <v>2</v>
      </c>
      <c r="K790" s="32" t="s">
        <v>183</v>
      </c>
      <c r="L790" s="18">
        <f t="shared" si="12"/>
        <v>999999999</v>
      </c>
    </row>
    <row r="791" spans="1:12" ht="15" customHeight="1" x14ac:dyDescent="0.25">
      <c r="A791" s="32" t="s">
        <v>186</v>
      </c>
      <c r="B791" s="32" t="s">
        <v>62</v>
      </c>
      <c r="C791" s="32" t="s">
        <v>154</v>
      </c>
      <c r="D791" s="32">
        <v>45.01</v>
      </c>
      <c r="E791" s="32">
        <v>45.5</v>
      </c>
      <c r="F791" s="32" t="s">
        <v>181</v>
      </c>
      <c r="G791" s="32">
        <v>7.1908000000000003</v>
      </c>
      <c r="H791" s="32">
        <v>2.1907999999999999</v>
      </c>
      <c r="I791" s="32" t="s">
        <v>174</v>
      </c>
      <c r="J791" s="32">
        <v>2</v>
      </c>
      <c r="K791" s="32" t="s">
        <v>183</v>
      </c>
      <c r="L791" s="18">
        <f t="shared" si="12"/>
        <v>999999999</v>
      </c>
    </row>
    <row r="792" spans="1:12" ht="15" customHeight="1" x14ac:dyDescent="0.25">
      <c r="A792" s="32" t="s">
        <v>186</v>
      </c>
      <c r="B792" s="32" t="s">
        <v>62</v>
      </c>
      <c r="C792" s="32" t="s">
        <v>154</v>
      </c>
      <c r="D792" s="32">
        <v>45.51</v>
      </c>
      <c r="E792" s="32">
        <v>46</v>
      </c>
      <c r="F792" s="32" t="s">
        <v>181</v>
      </c>
      <c r="G792" s="32">
        <v>7.2248000000000001</v>
      </c>
      <c r="H792" s="32">
        <v>4.2248000000000001</v>
      </c>
      <c r="I792" s="32" t="s">
        <v>174</v>
      </c>
      <c r="J792" s="32">
        <v>2</v>
      </c>
      <c r="K792" s="32" t="s">
        <v>183</v>
      </c>
      <c r="L792" s="18">
        <f t="shared" si="12"/>
        <v>999999999</v>
      </c>
    </row>
    <row r="793" spans="1:12" ht="15" customHeight="1" x14ac:dyDescent="0.25">
      <c r="A793" s="32" t="s">
        <v>186</v>
      </c>
      <c r="B793" s="32" t="s">
        <v>62</v>
      </c>
      <c r="C793" s="32" t="s">
        <v>154</v>
      </c>
      <c r="D793" s="32">
        <v>46.01</v>
      </c>
      <c r="E793" s="32">
        <v>46.5</v>
      </c>
      <c r="F793" s="32" t="s">
        <v>181</v>
      </c>
      <c r="G793" s="32">
        <v>7.2587999999999999</v>
      </c>
      <c r="H793" s="32">
        <v>3.2587999999999999</v>
      </c>
      <c r="I793" s="32" t="s">
        <v>174</v>
      </c>
      <c r="J793" s="32">
        <v>2</v>
      </c>
      <c r="K793" s="32" t="s">
        <v>183</v>
      </c>
      <c r="L793" s="18">
        <f t="shared" si="12"/>
        <v>999999999</v>
      </c>
    </row>
    <row r="794" spans="1:12" ht="15" customHeight="1" x14ac:dyDescent="0.25">
      <c r="A794" s="32" t="s">
        <v>186</v>
      </c>
      <c r="B794" s="32" t="s">
        <v>62</v>
      </c>
      <c r="C794" s="32" t="s">
        <v>154</v>
      </c>
      <c r="D794" s="32">
        <v>46.51</v>
      </c>
      <c r="E794" s="32">
        <v>47</v>
      </c>
      <c r="F794" s="32" t="s">
        <v>181</v>
      </c>
      <c r="G794" s="32">
        <v>7.2927999999999997</v>
      </c>
      <c r="H794" s="32">
        <v>3.2928000000000002</v>
      </c>
      <c r="I794" s="32" t="s">
        <v>174</v>
      </c>
      <c r="J794" s="32">
        <v>2</v>
      </c>
      <c r="K794" s="32" t="s">
        <v>183</v>
      </c>
      <c r="L794" s="18">
        <f t="shared" si="12"/>
        <v>999999999</v>
      </c>
    </row>
    <row r="795" spans="1:12" ht="15" customHeight="1" x14ac:dyDescent="0.25">
      <c r="A795" s="32" t="s">
        <v>186</v>
      </c>
      <c r="B795" s="32" t="s">
        <v>62</v>
      </c>
      <c r="C795" s="32" t="s">
        <v>154</v>
      </c>
      <c r="D795" s="32">
        <v>47.01</v>
      </c>
      <c r="E795" s="32">
        <v>47.5</v>
      </c>
      <c r="F795" s="32" t="s">
        <v>181</v>
      </c>
      <c r="G795" s="32">
        <v>7.3268000000000004</v>
      </c>
      <c r="H795" s="32">
        <v>3.3268</v>
      </c>
      <c r="I795" s="32" t="s">
        <v>174</v>
      </c>
      <c r="J795" s="32">
        <v>2</v>
      </c>
      <c r="K795" s="32" t="s">
        <v>183</v>
      </c>
      <c r="L795" s="18">
        <f t="shared" si="12"/>
        <v>999999999</v>
      </c>
    </row>
    <row r="796" spans="1:12" ht="15" customHeight="1" x14ac:dyDescent="0.25">
      <c r="A796" s="32" t="s">
        <v>186</v>
      </c>
      <c r="B796" s="32" t="s">
        <v>62</v>
      </c>
      <c r="C796" s="32" t="s">
        <v>154</v>
      </c>
      <c r="D796" s="32">
        <v>47.51</v>
      </c>
      <c r="E796" s="32">
        <v>48</v>
      </c>
      <c r="F796" s="32" t="s">
        <v>181</v>
      </c>
      <c r="G796" s="32">
        <v>7.3608000000000002</v>
      </c>
      <c r="H796" s="32">
        <v>3.3607999999999998</v>
      </c>
      <c r="I796" s="32" t="s">
        <v>174</v>
      </c>
      <c r="J796" s="32">
        <v>2</v>
      </c>
      <c r="K796" s="32" t="s">
        <v>183</v>
      </c>
      <c r="L796" s="18">
        <f t="shared" si="12"/>
        <v>999999999</v>
      </c>
    </row>
    <row r="797" spans="1:12" ht="15" customHeight="1" x14ac:dyDescent="0.25">
      <c r="A797" s="32" t="s">
        <v>186</v>
      </c>
      <c r="B797" s="32" t="s">
        <v>62</v>
      </c>
      <c r="C797" s="32" t="s">
        <v>154</v>
      </c>
      <c r="D797" s="32">
        <v>48.01</v>
      </c>
      <c r="E797" s="32">
        <v>48.5</v>
      </c>
      <c r="F797" s="32" t="s">
        <v>181</v>
      </c>
      <c r="G797" s="32">
        <v>7.3948</v>
      </c>
      <c r="H797" s="32">
        <v>4.3948</v>
      </c>
      <c r="I797" s="32" t="s">
        <v>174</v>
      </c>
      <c r="J797" s="32">
        <v>2</v>
      </c>
      <c r="K797" s="32" t="s">
        <v>183</v>
      </c>
      <c r="L797" s="18">
        <f t="shared" si="12"/>
        <v>999999999</v>
      </c>
    </row>
    <row r="798" spans="1:12" ht="15" customHeight="1" x14ac:dyDescent="0.25">
      <c r="A798" s="32" t="s">
        <v>186</v>
      </c>
      <c r="B798" s="32" t="s">
        <v>62</v>
      </c>
      <c r="C798" s="32" t="s">
        <v>154</v>
      </c>
      <c r="D798" s="32">
        <v>48.51</v>
      </c>
      <c r="E798" s="32">
        <v>49</v>
      </c>
      <c r="F798" s="32" t="s">
        <v>181</v>
      </c>
      <c r="G798" s="32">
        <v>7.4287999999999998</v>
      </c>
      <c r="H798" s="32">
        <v>2.4287999999999998</v>
      </c>
      <c r="I798" s="32" t="s">
        <v>174</v>
      </c>
      <c r="J798" s="32">
        <v>2</v>
      </c>
      <c r="K798" s="32" t="s">
        <v>183</v>
      </c>
      <c r="L798" s="18">
        <f t="shared" si="12"/>
        <v>999999999</v>
      </c>
    </row>
    <row r="799" spans="1:12" ht="15" customHeight="1" x14ac:dyDescent="0.25">
      <c r="A799" s="32" t="s">
        <v>186</v>
      </c>
      <c r="B799" s="32" t="s">
        <v>62</v>
      </c>
      <c r="C799" s="32" t="s">
        <v>154</v>
      </c>
      <c r="D799" s="32">
        <v>49.01</v>
      </c>
      <c r="E799" s="32">
        <v>49.5</v>
      </c>
      <c r="F799" s="32" t="s">
        <v>181</v>
      </c>
      <c r="G799" s="32">
        <v>7.4627999999999997</v>
      </c>
      <c r="H799" s="32">
        <v>2.4628000000000001</v>
      </c>
      <c r="I799" s="32" t="s">
        <v>174</v>
      </c>
      <c r="J799" s="32">
        <v>2</v>
      </c>
      <c r="K799" s="32" t="s">
        <v>183</v>
      </c>
      <c r="L799" s="18">
        <f t="shared" si="12"/>
        <v>999999999</v>
      </c>
    </row>
    <row r="800" spans="1:12" ht="15" customHeight="1" x14ac:dyDescent="0.25">
      <c r="A800" s="32" t="s">
        <v>186</v>
      </c>
      <c r="B800" s="32" t="s">
        <v>62</v>
      </c>
      <c r="C800" s="32" t="s">
        <v>154</v>
      </c>
      <c r="D800" s="32">
        <v>49.51</v>
      </c>
      <c r="E800" s="32">
        <v>50</v>
      </c>
      <c r="F800" s="32" t="s">
        <v>181</v>
      </c>
      <c r="G800" s="32">
        <v>7.4968000000000004</v>
      </c>
      <c r="H800" s="32">
        <v>4.4968000000000004</v>
      </c>
      <c r="I800" s="32" t="s">
        <v>174</v>
      </c>
      <c r="J800" s="32">
        <v>2</v>
      </c>
      <c r="K800" s="32" t="s">
        <v>183</v>
      </c>
      <c r="L800" s="18">
        <f t="shared" si="12"/>
        <v>999999999</v>
      </c>
    </row>
    <row r="801" spans="1:12" ht="15" customHeight="1" x14ac:dyDescent="0.25">
      <c r="A801" s="32" t="s">
        <v>186</v>
      </c>
      <c r="B801" s="32" t="s">
        <v>62</v>
      </c>
      <c r="C801" s="32" t="s">
        <v>154</v>
      </c>
      <c r="D801" s="32">
        <v>50.01</v>
      </c>
      <c r="E801" s="32">
        <v>50.5</v>
      </c>
      <c r="F801" s="32" t="s">
        <v>181</v>
      </c>
      <c r="G801" s="32">
        <v>7.5308000000000002</v>
      </c>
      <c r="H801" s="32">
        <v>4.5308000000000002</v>
      </c>
      <c r="I801" s="32" t="s">
        <v>174</v>
      </c>
      <c r="J801" s="32">
        <v>2</v>
      </c>
      <c r="K801" s="32" t="s">
        <v>183</v>
      </c>
      <c r="L801" s="18">
        <f t="shared" si="12"/>
        <v>999999999</v>
      </c>
    </row>
    <row r="802" spans="1:12" ht="15" customHeight="1" x14ac:dyDescent="0.25">
      <c r="A802" s="32" t="s">
        <v>186</v>
      </c>
      <c r="B802" s="32" t="s">
        <v>62</v>
      </c>
      <c r="C802" s="32" t="s">
        <v>154</v>
      </c>
      <c r="D802" s="32">
        <v>50.51</v>
      </c>
      <c r="E802" s="32">
        <v>51</v>
      </c>
      <c r="F802" s="32" t="s">
        <v>181</v>
      </c>
      <c r="G802" s="32">
        <v>7.5648</v>
      </c>
      <c r="H802" s="32">
        <v>4.5648</v>
      </c>
      <c r="I802" s="32" t="s">
        <v>174</v>
      </c>
      <c r="J802" s="32">
        <v>2</v>
      </c>
      <c r="K802" s="32" t="s">
        <v>183</v>
      </c>
      <c r="L802" s="18">
        <f t="shared" si="12"/>
        <v>999999999</v>
      </c>
    </row>
    <row r="803" spans="1:12" ht="15" customHeight="1" x14ac:dyDescent="0.25">
      <c r="A803" s="32" t="s">
        <v>186</v>
      </c>
      <c r="B803" s="32" t="s">
        <v>62</v>
      </c>
      <c r="C803" s="32" t="s">
        <v>154</v>
      </c>
      <c r="D803" s="32">
        <v>51.01</v>
      </c>
      <c r="E803" s="32">
        <v>51.5</v>
      </c>
      <c r="F803" s="32" t="s">
        <v>181</v>
      </c>
      <c r="G803" s="32">
        <v>7.5987999999999998</v>
      </c>
      <c r="H803" s="32">
        <v>3.5988000000000002</v>
      </c>
      <c r="I803" s="32" t="s">
        <v>174</v>
      </c>
      <c r="J803" s="32">
        <v>2</v>
      </c>
      <c r="K803" s="32" t="s">
        <v>183</v>
      </c>
      <c r="L803" s="18">
        <f t="shared" si="12"/>
        <v>999999999</v>
      </c>
    </row>
    <row r="804" spans="1:12" ht="15" customHeight="1" x14ac:dyDescent="0.25">
      <c r="A804" s="32" t="s">
        <v>186</v>
      </c>
      <c r="B804" s="32" t="s">
        <v>62</v>
      </c>
      <c r="C804" s="32" t="s">
        <v>154</v>
      </c>
      <c r="D804" s="32">
        <v>51.51</v>
      </c>
      <c r="E804" s="32">
        <v>52</v>
      </c>
      <c r="F804" s="32" t="s">
        <v>181</v>
      </c>
      <c r="G804" s="32">
        <v>7.6327999999999996</v>
      </c>
      <c r="H804" s="32">
        <v>2.6328</v>
      </c>
      <c r="I804" s="32" t="s">
        <v>174</v>
      </c>
      <c r="J804" s="32">
        <v>2</v>
      </c>
      <c r="K804" s="32" t="s">
        <v>183</v>
      </c>
      <c r="L804" s="18">
        <f t="shared" si="12"/>
        <v>999999999</v>
      </c>
    </row>
    <row r="805" spans="1:12" ht="15" customHeight="1" x14ac:dyDescent="0.25">
      <c r="A805" s="32" t="s">
        <v>186</v>
      </c>
      <c r="B805" s="32" t="s">
        <v>62</v>
      </c>
      <c r="C805" s="32" t="s">
        <v>154</v>
      </c>
      <c r="D805" s="32">
        <v>52.01</v>
      </c>
      <c r="E805" s="32">
        <v>52.5</v>
      </c>
      <c r="F805" s="32" t="s">
        <v>181</v>
      </c>
      <c r="G805" s="32">
        <v>7.6668000000000003</v>
      </c>
      <c r="H805" s="32">
        <v>3.6667999999999998</v>
      </c>
      <c r="I805" s="32" t="s">
        <v>174</v>
      </c>
      <c r="J805" s="32">
        <v>2</v>
      </c>
      <c r="K805" s="32" t="s">
        <v>183</v>
      </c>
      <c r="L805" s="18">
        <f t="shared" si="12"/>
        <v>999999999</v>
      </c>
    </row>
    <row r="806" spans="1:12" ht="15" customHeight="1" x14ac:dyDescent="0.25">
      <c r="A806" s="32" t="s">
        <v>186</v>
      </c>
      <c r="B806" s="32" t="s">
        <v>62</v>
      </c>
      <c r="C806" s="32" t="s">
        <v>154</v>
      </c>
      <c r="D806" s="32">
        <v>52.51</v>
      </c>
      <c r="E806" s="32">
        <v>53</v>
      </c>
      <c r="F806" s="32" t="s">
        <v>181</v>
      </c>
      <c r="G806" s="32">
        <v>7.7008000000000001</v>
      </c>
      <c r="H806" s="32">
        <v>4.7008000000000001</v>
      </c>
      <c r="I806" s="32" t="s">
        <v>174</v>
      </c>
      <c r="J806" s="32">
        <v>2</v>
      </c>
      <c r="K806" s="32" t="s">
        <v>183</v>
      </c>
      <c r="L806" s="18">
        <f t="shared" si="12"/>
        <v>999999999</v>
      </c>
    </row>
    <row r="807" spans="1:12" ht="15" customHeight="1" x14ac:dyDescent="0.25">
      <c r="A807" s="32" t="s">
        <v>186</v>
      </c>
      <c r="B807" s="32" t="s">
        <v>62</v>
      </c>
      <c r="C807" s="32" t="s">
        <v>154</v>
      </c>
      <c r="D807" s="32">
        <v>53.01</v>
      </c>
      <c r="E807" s="32">
        <v>53.5</v>
      </c>
      <c r="F807" s="32" t="s">
        <v>181</v>
      </c>
      <c r="G807" s="32">
        <v>7.7347999999999999</v>
      </c>
      <c r="H807" s="32">
        <v>2.7347999999999999</v>
      </c>
      <c r="I807" s="32" t="s">
        <v>174</v>
      </c>
      <c r="J807" s="32">
        <v>2</v>
      </c>
      <c r="K807" s="32" t="s">
        <v>183</v>
      </c>
      <c r="L807" s="18">
        <f t="shared" si="12"/>
        <v>999999999</v>
      </c>
    </row>
    <row r="808" spans="1:12" ht="15" customHeight="1" x14ac:dyDescent="0.25">
      <c r="A808" s="32" t="s">
        <v>186</v>
      </c>
      <c r="B808" s="32" t="s">
        <v>62</v>
      </c>
      <c r="C808" s="32" t="s">
        <v>154</v>
      </c>
      <c r="D808" s="32">
        <v>53.51</v>
      </c>
      <c r="E808" s="32">
        <v>54</v>
      </c>
      <c r="F808" s="32" t="s">
        <v>181</v>
      </c>
      <c r="G808" s="32">
        <v>7.7687999999999997</v>
      </c>
      <c r="H808" s="32">
        <v>2.7688000000000001</v>
      </c>
      <c r="I808" s="32" t="s">
        <v>174</v>
      </c>
      <c r="J808" s="32">
        <v>2</v>
      </c>
      <c r="K808" s="32" t="s">
        <v>183</v>
      </c>
      <c r="L808" s="18">
        <f t="shared" si="12"/>
        <v>999999999</v>
      </c>
    </row>
    <row r="809" spans="1:12" ht="15" customHeight="1" x14ac:dyDescent="0.25">
      <c r="A809" s="32" t="s">
        <v>186</v>
      </c>
      <c r="B809" s="32" t="s">
        <v>62</v>
      </c>
      <c r="C809" s="32" t="s">
        <v>154</v>
      </c>
      <c r="D809" s="32">
        <v>54.01</v>
      </c>
      <c r="E809" s="32">
        <v>54.5</v>
      </c>
      <c r="F809" s="32" t="s">
        <v>181</v>
      </c>
      <c r="G809" s="32">
        <v>7.8028000000000004</v>
      </c>
      <c r="H809" s="32">
        <v>4.8028000000000004</v>
      </c>
      <c r="I809" s="32" t="s">
        <v>174</v>
      </c>
      <c r="J809" s="32">
        <v>2</v>
      </c>
      <c r="K809" s="32" t="s">
        <v>183</v>
      </c>
      <c r="L809" s="18">
        <f t="shared" si="12"/>
        <v>999999999</v>
      </c>
    </row>
    <row r="810" spans="1:12" ht="15" customHeight="1" x14ac:dyDescent="0.25">
      <c r="A810" s="32" t="s">
        <v>186</v>
      </c>
      <c r="B810" s="32" t="s">
        <v>62</v>
      </c>
      <c r="C810" s="32" t="s">
        <v>154</v>
      </c>
      <c r="D810" s="32">
        <v>54.51</v>
      </c>
      <c r="E810" s="32">
        <v>55</v>
      </c>
      <c r="F810" s="32" t="s">
        <v>181</v>
      </c>
      <c r="G810" s="32">
        <v>7.8368000000000002</v>
      </c>
      <c r="H810" s="32">
        <v>4.8368000000000002</v>
      </c>
      <c r="I810" s="32" t="s">
        <v>174</v>
      </c>
      <c r="J810" s="32">
        <v>2</v>
      </c>
      <c r="K810" s="32" t="s">
        <v>183</v>
      </c>
      <c r="L810" s="18">
        <f t="shared" si="12"/>
        <v>999999999</v>
      </c>
    </row>
    <row r="811" spans="1:12" ht="15" customHeight="1" x14ac:dyDescent="0.25">
      <c r="A811" s="32" t="s">
        <v>186</v>
      </c>
      <c r="B811" s="32" t="s">
        <v>62</v>
      </c>
      <c r="C811" s="32" t="s">
        <v>154</v>
      </c>
      <c r="D811" s="32">
        <v>55.01</v>
      </c>
      <c r="E811" s="32">
        <v>55.5</v>
      </c>
      <c r="F811" s="32" t="s">
        <v>181</v>
      </c>
      <c r="G811" s="32">
        <v>7.8708</v>
      </c>
      <c r="H811" s="32">
        <v>4.8708</v>
      </c>
      <c r="I811" s="32" t="s">
        <v>174</v>
      </c>
      <c r="J811" s="32">
        <v>2</v>
      </c>
      <c r="K811" s="32" t="s">
        <v>183</v>
      </c>
      <c r="L811" s="18">
        <f t="shared" si="12"/>
        <v>999999999</v>
      </c>
    </row>
    <row r="812" spans="1:12" ht="15" customHeight="1" x14ac:dyDescent="0.25">
      <c r="A812" s="32" t="s">
        <v>186</v>
      </c>
      <c r="B812" s="32" t="s">
        <v>62</v>
      </c>
      <c r="C812" s="32" t="s">
        <v>154</v>
      </c>
      <c r="D812" s="32">
        <v>55.51</v>
      </c>
      <c r="E812" s="32">
        <v>56</v>
      </c>
      <c r="F812" s="32" t="s">
        <v>181</v>
      </c>
      <c r="G812" s="32">
        <v>7.9047999999999998</v>
      </c>
      <c r="H812" s="32">
        <v>4.9047999999999998</v>
      </c>
      <c r="I812" s="32" t="s">
        <v>174</v>
      </c>
      <c r="J812" s="32">
        <v>2</v>
      </c>
      <c r="K812" s="32" t="s">
        <v>183</v>
      </c>
      <c r="L812" s="18">
        <f t="shared" si="12"/>
        <v>999999999</v>
      </c>
    </row>
    <row r="813" spans="1:12" ht="15" customHeight="1" x14ac:dyDescent="0.25">
      <c r="A813" s="32" t="s">
        <v>186</v>
      </c>
      <c r="B813" s="32" t="s">
        <v>62</v>
      </c>
      <c r="C813" s="32" t="s">
        <v>154</v>
      </c>
      <c r="D813" s="32">
        <v>56.01</v>
      </c>
      <c r="E813" s="32">
        <v>56.5</v>
      </c>
      <c r="F813" s="32" t="s">
        <v>181</v>
      </c>
      <c r="G813" s="32">
        <v>7.9387999999999996</v>
      </c>
      <c r="H813" s="32">
        <v>2.9388000000000001</v>
      </c>
      <c r="I813" s="32" t="s">
        <v>174</v>
      </c>
      <c r="J813" s="32">
        <v>2</v>
      </c>
      <c r="K813" s="32" t="s">
        <v>183</v>
      </c>
      <c r="L813" s="18">
        <f t="shared" si="12"/>
        <v>999999999</v>
      </c>
    </row>
    <row r="814" spans="1:12" ht="15" customHeight="1" x14ac:dyDescent="0.25">
      <c r="A814" s="32" t="s">
        <v>186</v>
      </c>
      <c r="B814" s="32" t="s">
        <v>62</v>
      </c>
      <c r="C814" s="32" t="s">
        <v>154</v>
      </c>
      <c r="D814" s="32">
        <v>56.51</v>
      </c>
      <c r="E814" s="32">
        <v>57</v>
      </c>
      <c r="F814" s="32" t="s">
        <v>181</v>
      </c>
      <c r="G814" s="32">
        <v>7.9728000000000003</v>
      </c>
      <c r="H814" s="32">
        <v>2.9727999999999999</v>
      </c>
      <c r="I814" s="32" t="s">
        <v>174</v>
      </c>
      <c r="J814" s="32">
        <v>2</v>
      </c>
      <c r="K814" s="32" t="s">
        <v>183</v>
      </c>
      <c r="L814" s="18">
        <f t="shared" si="12"/>
        <v>999999999</v>
      </c>
    </row>
    <row r="815" spans="1:12" ht="15" customHeight="1" x14ac:dyDescent="0.25">
      <c r="A815" s="32" t="s">
        <v>186</v>
      </c>
      <c r="B815" s="32" t="s">
        <v>62</v>
      </c>
      <c r="C815" s="32" t="s">
        <v>154</v>
      </c>
      <c r="D815" s="32">
        <v>57.01</v>
      </c>
      <c r="E815" s="32">
        <v>57.5</v>
      </c>
      <c r="F815" s="32" t="s">
        <v>181</v>
      </c>
      <c r="G815" s="32">
        <v>9.0068000000000001</v>
      </c>
      <c r="H815" s="32">
        <v>4.0068000000000001</v>
      </c>
      <c r="I815" s="32" t="s">
        <v>174</v>
      </c>
      <c r="J815" s="32">
        <v>2</v>
      </c>
      <c r="K815" s="32" t="s">
        <v>183</v>
      </c>
      <c r="L815" s="18">
        <f t="shared" si="12"/>
        <v>999999999</v>
      </c>
    </row>
    <row r="816" spans="1:12" ht="15" customHeight="1" x14ac:dyDescent="0.25">
      <c r="A816" s="32" t="s">
        <v>186</v>
      </c>
      <c r="B816" s="32" t="s">
        <v>62</v>
      </c>
      <c r="C816" s="32" t="s">
        <v>154</v>
      </c>
      <c r="D816" s="32">
        <v>57.51</v>
      </c>
      <c r="E816" s="32">
        <v>58</v>
      </c>
      <c r="F816" s="32" t="s">
        <v>181</v>
      </c>
      <c r="G816" s="32">
        <v>9.0408000000000008</v>
      </c>
      <c r="H816" s="32">
        <v>2.0407999999999999</v>
      </c>
      <c r="I816" s="32" t="s">
        <v>174</v>
      </c>
      <c r="J816" s="32">
        <v>2</v>
      </c>
      <c r="K816" s="32" t="s">
        <v>183</v>
      </c>
      <c r="L816" s="18">
        <f t="shared" si="12"/>
        <v>999999999</v>
      </c>
    </row>
    <row r="817" spans="1:12" ht="15" customHeight="1" x14ac:dyDescent="0.25">
      <c r="A817" s="32" t="s">
        <v>186</v>
      </c>
      <c r="B817" s="32" t="s">
        <v>62</v>
      </c>
      <c r="C817" s="32" t="s">
        <v>154</v>
      </c>
      <c r="D817" s="32">
        <v>58.01</v>
      </c>
      <c r="E817" s="32">
        <v>58.5</v>
      </c>
      <c r="F817" s="32" t="s">
        <v>181</v>
      </c>
      <c r="G817" s="32">
        <v>9.0747999999999998</v>
      </c>
      <c r="H817" s="32">
        <v>4.0747999999999998</v>
      </c>
      <c r="I817" s="32" t="s">
        <v>174</v>
      </c>
      <c r="J817" s="32">
        <v>2</v>
      </c>
      <c r="K817" s="32" t="s">
        <v>183</v>
      </c>
      <c r="L817" s="18">
        <f t="shared" si="12"/>
        <v>999999999</v>
      </c>
    </row>
    <row r="818" spans="1:12" ht="15" customHeight="1" x14ac:dyDescent="0.25">
      <c r="A818" s="32" t="s">
        <v>186</v>
      </c>
      <c r="B818" s="32" t="s">
        <v>62</v>
      </c>
      <c r="C818" s="32" t="s">
        <v>154</v>
      </c>
      <c r="D818" s="32">
        <v>58.51</v>
      </c>
      <c r="E818" s="32">
        <v>59</v>
      </c>
      <c r="F818" s="32" t="s">
        <v>181</v>
      </c>
      <c r="G818" s="32">
        <v>9.1088000000000005</v>
      </c>
      <c r="H818" s="32">
        <v>2.1088</v>
      </c>
      <c r="I818" s="32" t="s">
        <v>174</v>
      </c>
      <c r="J818" s="32">
        <v>2</v>
      </c>
      <c r="K818" s="32" t="s">
        <v>183</v>
      </c>
      <c r="L818" s="18">
        <f t="shared" si="12"/>
        <v>999999999</v>
      </c>
    </row>
    <row r="819" spans="1:12" ht="15" customHeight="1" x14ac:dyDescent="0.25">
      <c r="A819" s="32" t="s">
        <v>186</v>
      </c>
      <c r="B819" s="32" t="s">
        <v>62</v>
      </c>
      <c r="C819" s="32" t="s">
        <v>154</v>
      </c>
      <c r="D819" s="32">
        <v>59.01</v>
      </c>
      <c r="E819" s="32">
        <v>59.5</v>
      </c>
      <c r="F819" s="32" t="s">
        <v>181</v>
      </c>
      <c r="G819" s="32">
        <v>9.1427999999999994</v>
      </c>
      <c r="H819" s="32">
        <v>2.1427999999999998</v>
      </c>
      <c r="I819" s="32" t="s">
        <v>174</v>
      </c>
      <c r="J819" s="32">
        <v>2</v>
      </c>
      <c r="K819" s="32" t="s">
        <v>183</v>
      </c>
      <c r="L819" s="18">
        <f t="shared" si="12"/>
        <v>999999999</v>
      </c>
    </row>
    <row r="820" spans="1:12" ht="15" customHeight="1" x14ac:dyDescent="0.25">
      <c r="A820" s="32" t="s">
        <v>186</v>
      </c>
      <c r="B820" s="32" t="s">
        <v>62</v>
      </c>
      <c r="C820" s="32" t="s">
        <v>154</v>
      </c>
      <c r="D820" s="32">
        <v>59.51</v>
      </c>
      <c r="E820" s="32">
        <v>60</v>
      </c>
      <c r="F820" s="32" t="s">
        <v>181</v>
      </c>
      <c r="G820" s="32">
        <v>9.1768000000000001</v>
      </c>
      <c r="H820" s="32">
        <v>6.1768000000000001</v>
      </c>
      <c r="I820" s="32" t="s">
        <v>174</v>
      </c>
      <c r="J820" s="32">
        <v>2</v>
      </c>
      <c r="K820" s="32" t="s">
        <v>183</v>
      </c>
      <c r="L820" s="18">
        <f t="shared" si="12"/>
        <v>999999999</v>
      </c>
    </row>
    <row r="821" spans="1:12" ht="15" customHeight="1" x14ac:dyDescent="0.25">
      <c r="A821" s="32" t="s">
        <v>186</v>
      </c>
      <c r="B821" s="32" t="s">
        <v>62</v>
      </c>
      <c r="C821" s="32" t="s">
        <v>154</v>
      </c>
      <c r="D821" s="32">
        <v>60.01</v>
      </c>
      <c r="E821" s="32">
        <v>60.5</v>
      </c>
      <c r="F821" s="32" t="s">
        <v>181</v>
      </c>
      <c r="G821" s="32">
        <v>9.2108000000000008</v>
      </c>
      <c r="H821" s="32">
        <v>2.2107999999999999</v>
      </c>
      <c r="I821" s="32" t="s">
        <v>174</v>
      </c>
      <c r="J821" s="32">
        <v>2</v>
      </c>
      <c r="K821" s="32" t="s">
        <v>183</v>
      </c>
      <c r="L821" s="18">
        <f t="shared" si="12"/>
        <v>999999999</v>
      </c>
    </row>
    <row r="822" spans="1:12" ht="15" customHeight="1" x14ac:dyDescent="0.25">
      <c r="A822" s="32" t="s">
        <v>186</v>
      </c>
      <c r="B822" s="32" t="s">
        <v>62</v>
      </c>
      <c r="C822" s="32" t="s">
        <v>154</v>
      </c>
      <c r="D822" s="32">
        <v>60.51</v>
      </c>
      <c r="E822" s="32">
        <v>61</v>
      </c>
      <c r="F822" s="32" t="s">
        <v>181</v>
      </c>
      <c r="G822" s="32">
        <v>9.2447999999999997</v>
      </c>
      <c r="H822" s="32">
        <v>6.2447999999999997</v>
      </c>
      <c r="I822" s="32" t="s">
        <v>174</v>
      </c>
      <c r="J822" s="32">
        <v>2</v>
      </c>
      <c r="K822" s="32" t="s">
        <v>183</v>
      </c>
      <c r="L822" s="18">
        <f t="shared" si="12"/>
        <v>999999999</v>
      </c>
    </row>
    <row r="823" spans="1:12" ht="15" customHeight="1" x14ac:dyDescent="0.25">
      <c r="A823" s="32" t="s">
        <v>186</v>
      </c>
      <c r="B823" s="32" t="s">
        <v>62</v>
      </c>
      <c r="C823" s="32" t="s">
        <v>154</v>
      </c>
      <c r="D823" s="32">
        <v>61.01</v>
      </c>
      <c r="E823" s="32">
        <v>61.5</v>
      </c>
      <c r="F823" s="32" t="s">
        <v>181</v>
      </c>
      <c r="G823" s="32">
        <v>9.2788000000000004</v>
      </c>
      <c r="H823" s="32">
        <v>3.2787999999999999</v>
      </c>
      <c r="I823" s="32" t="s">
        <v>174</v>
      </c>
      <c r="J823" s="32">
        <v>2</v>
      </c>
      <c r="K823" s="32" t="s">
        <v>183</v>
      </c>
      <c r="L823" s="18">
        <f t="shared" si="12"/>
        <v>999999999</v>
      </c>
    </row>
    <row r="824" spans="1:12" ht="15" customHeight="1" x14ac:dyDescent="0.25">
      <c r="A824" s="32" t="s">
        <v>186</v>
      </c>
      <c r="B824" s="32" t="s">
        <v>62</v>
      </c>
      <c r="C824" s="32" t="s">
        <v>154</v>
      </c>
      <c r="D824" s="32">
        <v>61.51</v>
      </c>
      <c r="E824" s="32">
        <v>62</v>
      </c>
      <c r="F824" s="32" t="s">
        <v>181</v>
      </c>
      <c r="G824" s="32">
        <v>9.3127999999999993</v>
      </c>
      <c r="H824" s="32">
        <v>5.3128000000000002</v>
      </c>
      <c r="I824" s="32" t="s">
        <v>174</v>
      </c>
      <c r="J824" s="32">
        <v>2</v>
      </c>
      <c r="K824" s="32" t="s">
        <v>183</v>
      </c>
      <c r="L824" s="18">
        <f t="shared" si="12"/>
        <v>999999999</v>
      </c>
    </row>
    <row r="825" spans="1:12" ht="15" customHeight="1" x14ac:dyDescent="0.25">
      <c r="A825" s="32" t="s">
        <v>186</v>
      </c>
      <c r="B825" s="32" t="s">
        <v>62</v>
      </c>
      <c r="C825" s="32" t="s">
        <v>154</v>
      </c>
      <c r="D825" s="32">
        <v>62.01</v>
      </c>
      <c r="E825" s="32">
        <v>62.5</v>
      </c>
      <c r="F825" s="32" t="s">
        <v>181</v>
      </c>
      <c r="G825" s="32">
        <v>9.3468</v>
      </c>
      <c r="H825" s="32">
        <v>6.3468</v>
      </c>
      <c r="I825" s="32" t="s">
        <v>174</v>
      </c>
      <c r="J825" s="32">
        <v>2</v>
      </c>
      <c r="K825" s="32" t="s">
        <v>183</v>
      </c>
      <c r="L825" s="18">
        <f t="shared" si="12"/>
        <v>999999999</v>
      </c>
    </row>
    <row r="826" spans="1:12" ht="15" customHeight="1" x14ac:dyDescent="0.25">
      <c r="A826" s="32" t="s">
        <v>186</v>
      </c>
      <c r="B826" s="32" t="s">
        <v>62</v>
      </c>
      <c r="C826" s="32" t="s">
        <v>154</v>
      </c>
      <c r="D826" s="32">
        <v>62.51</v>
      </c>
      <c r="E826" s="32">
        <v>63</v>
      </c>
      <c r="F826" s="32" t="s">
        <v>181</v>
      </c>
      <c r="G826" s="32">
        <v>9.3808000000000007</v>
      </c>
      <c r="H826" s="32">
        <v>3.3807999999999998</v>
      </c>
      <c r="I826" s="32" t="s">
        <v>174</v>
      </c>
      <c r="J826" s="32">
        <v>2</v>
      </c>
      <c r="K826" s="32" t="s">
        <v>183</v>
      </c>
      <c r="L826" s="18">
        <f t="shared" si="12"/>
        <v>999999999</v>
      </c>
    </row>
    <row r="827" spans="1:12" ht="15" customHeight="1" x14ac:dyDescent="0.25">
      <c r="A827" s="32" t="s">
        <v>186</v>
      </c>
      <c r="B827" s="32" t="s">
        <v>62</v>
      </c>
      <c r="C827" s="32" t="s">
        <v>154</v>
      </c>
      <c r="D827" s="32">
        <v>63.01</v>
      </c>
      <c r="E827" s="32">
        <v>63.5</v>
      </c>
      <c r="F827" s="32" t="s">
        <v>181</v>
      </c>
      <c r="G827" s="32">
        <v>9.4147999999999996</v>
      </c>
      <c r="H827" s="32">
        <v>4.4147999999999996</v>
      </c>
      <c r="I827" s="32" t="s">
        <v>174</v>
      </c>
      <c r="J827" s="32">
        <v>2</v>
      </c>
      <c r="K827" s="32" t="s">
        <v>183</v>
      </c>
      <c r="L827" s="18">
        <f t="shared" si="12"/>
        <v>999999999</v>
      </c>
    </row>
    <row r="828" spans="1:12" ht="15" customHeight="1" x14ac:dyDescent="0.25">
      <c r="A828" s="32" t="s">
        <v>186</v>
      </c>
      <c r="B828" s="32" t="s">
        <v>62</v>
      </c>
      <c r="C828" s="32" t="s">
        <v>154</v>
      </c>
      <c r="D828" s="32">
        <v>63.51</v>
      </c>
      <c r="E828" s="32">
        <v>64</v>
      </c>
      <c r="F828" s="32" t="s">
        <v>181</v>
      </c>
      <c r="G828" s="32">
        <v>9.4488000000000003</v>
      </c>
      <c r="H828" s="32">
        <v>5.4488000000000003</v>
      </c>
      <c r="I828" s="32" t="s">
        <v>174</v>
      </c>
      <c r="J828" s="32">
        <v>2</v>
      </c>
      <c r="K828" s="32" t="s">
        <v>183</v>
      </c>
      <c r="L828" s="18">
        <f t="shared" si="12"/>
        <v>999999999</v>
      </c>
    </row>
    <row r="829" spans="1:12" ht="15" customHeight="1" x14ac:dyDescent="0.25">
      <c r="A829" s="32" t="s">
        <v>186</v>
      </c>
      <c r="B829" s="32" t="s">
        <v>62</v>
      </c>
      <c r="C829" s="32" t="s">
        <v>154</v>
      </c>
      <c r="D829" s="32">
        <v>64.010000000000005</v>
      </c>
      <c r="E829" s="32">
        <v>64.5</v>
      </c>
      <c r="F829" s="32" t="s">
        <v>181</v>
      </c>
      <c r="G829" s="32">
        <v>9.4827999999999992</v>
      </c>
      <c r="H829" s="32">
        <v>4.4828000000000001</v>
      </c>
      <c r="I829" s="32" t="s">
        <v>174</v>
      </c>
      <c r="J829" s="32">
        <v>2</v>
      </c>
      <c r="K829" s="32" t="s">
        <v>183</v>
      </c>
      <c r="L829" s="18">
        <f t="shared" si="12"/>
        <v>999999999</v>
      </c>
    </row>
    <row r="830" spans="1:12" ht="15" customHeight="1" x14ac:dyDescent="0.25">
      <c r="A830" s="32" t="s">
        <v>186</v>
      </c>
      <c r="B830" s="32" t="s">
        <v>62</v>
      </c>
      <c r="C830" s="32" t="s">
        <v>154</v>
      </c>
      <c r="D830" s="32">
        <v>64.510000000000005</v>
      </c>
      <c r="E830" s="32">
        <v>65</v>
      </c>
      <c r="F830" s="32" t="s">
        <v>181</v>
      </c>
      <c r="G830" s="32">
        <v>9.5167999999999999</v>
      </c>
      <c r="H830" s="32">
        <v>4.5167999999999999</v>
      </c>
      <c r="I830" s="32" t="s">
        <v>174</v>
      </c>
      <c r="J830" s="32">
        <v>2</v>
      </c>
      <c r="K830" s="32" t="s">
        <v>183</v>
      </c>
      <c r="L830" s="18">
        <f t="shared" si="12"/>
        <v>999999999</v>
      </c>
    </row>
    <row r="831" spans="1:12" ht="15" customHeight="1" x14ac:dyDescent="0.25">
      <c r="A831" s="32" t="s">
        <v>186</v>
      </c>
      <c r="B831" s="32" t="s">
        <v>62</v>
      </c>
      <c r="C831" s="32" t="s">
        <v>154</v>
      </c>
      <c r="D831" s="32">
        <v>65.010000000000005</v>
      </c>
      <c r="E831" s="32">
        <v>65.5</v>
      </c>
      <c r="F831" s="32" t="s">
        <v>181</v>
      </c>
      <c r="G831" s="32">
        <v>9.5508000000000006</v>
      </c>
      <c r="H831" s="32">
        <v>6.5507999999999997</v>
      </c>
      <c r="I831" s="32" t="s">
        <v>174</v>
      </c>
      <c r="J831" s="32">
        <v>2</v>
      </c>
      <c r="K831" s="32" t="s">
        <v>183</v>
      </c>
      <c r="L831" s="18">
        <f t="shared" si="12"/>
        <v>999999999</v>
      </c>
    </row>
    <row r="832" spans="1:12" ht="15" customHeight="1" x14ac:dyDescent="0.25">
      <c r="A832" s="32" t="s">
        <v>186</v>
      </c>
      <c r="B832" s="32" t="s">
        <v>62</v>
      </c>
      <c r="C832" s="32" t="s">
        <v>154</v>
      </c>
      <c r="D832" s="32">
        <v>65.510000000000005</v>
      </c>
      <c r="E832" s="32">
        <v>66</v>
      </c>
      <c r="F832" s="32" t="s">
        <v>181</v>
      </c>
      <c r="G832" s="32">
        <v>9.5847999999999995</v>
      </c>
      <c r="H832" s="32">
        <v>5.5848000000000004</v>
      </c>
      <c r="I832" s="32" t="s">
        <v>174</v>
      </c>
      <c r="J832" s="32">
        <v>2</v>
      </c>
      <c r="K832" s="32" t="s">
        <v>183</v>
      </c>
      <c r="L832" s="18">
        <f t="shared" si="12"/>
        <v>999999999</v>
      </c>
    </row>
    <row r="833" spans="1:12" ht="15" customHeight="1" x14ac:dyDescent="0.25">
      <c r="A833" s="32" t="s">
        <v>186</v>
      </c>
      <c r="B833" s="32" t="s">
        <v>62</v>
      </c>
      <c r="C833" s="32" t="s">
        <v>154</v>
      </c>
      <c r="D833" s="32">
        <v>66.010000000000005</v>
      </c>
      <c r="E833" s="32">
        <v>66.5</v>
      </c>
      <c r="F833" s="32" t="s">
        <v>181</v>
      </c>
      <c r="G833" s="32">
        <v>9.6188000000000002</v>
      </c>
      <c r="H833" s="32">
        <v>2.6187999999999998</v>
      </c>
      <c r="I833" s="32" t="s">
        <v>174</v>
      </c>
      <c r="J833" s="32">
        <v>2</v>
      </c>
      <c r="K833" s="32" t="s">
        <v>183</v>
      </c>
      <c r="L833" s="18">
        <f t="shared" si="12"/>
        <v>999999999</v>
      </c>
    </row>
    <row r="834" spans="1:12" ht="15" customHeight="1" x14ac:dyDescent="0.25">
      <c r="A834" s="32" t="s">
        <v>186</v>
      </c>
      <c r="B834" s="32" t="s">
        <v>62</v>
      </c>
      <c r="C834" s="32" t="s">
        <v>154</v>
      </c>
      <c r="D834" s="32">
        <v>66.510000000000005</v>
      </c>
      <c r="E834" s="32">
        <v>67</v>
      </c>
      <c r="F834" s="32" t="s">
        <v>181</v>
      </c>
      <c r="G834" s="32">
        <v>9.6527999999999992</v>
      </c>
      <c r="H834" s="32">
        <v>3.6528</v>
      </c>
      <c r="I834" s="32" t="s">
        <v>174</v>
      </c>
      <c r="J834" s="32">
        <v>2</v>
      </c>
      <c r="K834" s="32" t="s">
        <v>183</v>
      </c>
      <c r="L834" s="18">
        <f t="shared" ref="L834:L897" si="13">IF(AND(B834=Quote_Port,D834&lt;=Quote_Weight,Quote_Weight&lt;=E834,OR(Quote_2Day="No",J834&lt;=2)),MAX(G834,Quote_Weight*H834)*Quote_USDINR,999999999)</f>
        <v>999999999</v>
      </c>
    </row>
    <row r="835" spans="1:12" ht="15" customHeight="1" x14ac:dyDescent="0.25">
      <c r="A835" s="32" t="s">
        <v>186</v>
      </c>
      <c r="B835" s="32" t="s">
        <v>62</v>
      </c>
      <c r="C835" s="32" t="s">
        <v>154</v>
      </c>
      <c r="D835" s="32">
        <v>67.010000000000005</v>
      </c>
      <c r="E835" s="32">
        <v>67.5</v>
      </c>
      <c r="F835" s="32" t="s">
        <v>181</v>
      </c>
      <c r="G835" s="32">
        <v>9.6867999999999999</v>
      </c>
      <c r="H835" s="32">
        <v>2.6867999999999999</v>
      </c>
      <c r="I835" s="32" t="s">
        <v>174</v>
      </c>
      <c r="J835" s="32">
        <v>2</v>
      </c>
      <c r="K835" s="32" t="s">
        <v>183</v>
      </c>
      <c r="L835" s="18">
        <f t="shared" si="13"/>
        <v>999999999</v>
      </c>
    </row>
    <row r="836" spans="1:12" ht="15" customHeight="1" x14ac:dyDescent="0.25">
      <c r="A836" s="32" t="s">
        <v>186</v>
      </c>
      <c r="B836" s="32" t="s">
        <v>62</v>
      </c>
      <c r="C836" s="32" t="s">
        <v>154</v>
      </c>
      <c r="D836" s="32">
        <v>67.510000000000005</v>
      </c>
      <c r="E836" s="32">
        <v>68</v>
      </c>
      <c r="F836" s="32" t="s">
        <v>181</v>
      </c>
      <c r="G836" s="32">
        <v>9.7208000000000006</v>
      </c>
      <c r="H836" s="32">
        <v>5.7207999999999997</v>
      </c>
      <c r="I836" s="32" t="s">
        <v>174</v>
      </c>
      <c r="J836" s="32">
        <v>2</v>
      </c>
      <c r="K836" s="32" t="s">
        <v>183</v>
      </c>
      <c r="L836" s="18">
        <f t="shared" si="13"/>
        <v>999999999</v>
      </c>
    </row>
    <row r="837" spans="1:12" ht="15" customHeight="1" x14ac:dyDescent="0.25">
      <c r="A837" s="32" t="s">
        <v>186</v>
      </c>
      <c r="B837" s="32" t="s">
        <v>62</v>
      </c>
      <c r="C837" s="32" t="s">
        <v>154</v>
      </c>
      <c r="D837" s="32">
        <v>68.010000000000005</v>
      </c>
      <c r="E837" s="32">
        <v>68.5</v>
      </c>
      <c r="F837" s="32" t="s">
        <v>181</v>
      </c>
      <c r="G837" s="32">
        <v>9.7547999999999995</v>
      </c>
      <c r="H837" s="32">
        <v>5.7548000000000004</v>
      </c>
      <c r="I837" s="32" t="s">
        <v>174</v>
      </c>
      <c r="J837" s="32">
        <v>2</v>
      </c>
      <c r="K837" s="32" t="s">
        <v>183</v>
      </c>
      <c r="L837" s="18">
        <f t="shared" si="13"/>
        <v>999999999</v>
      </c>
    </row>
    <row r="838" spans="1:12" ht="15" customHeight="1" x14ac:dyDescent="0.25">
      <c r="A838" s="32" t="s">
        <v>186</v>
      </c>
      <c r="B838" s="32" t="s">
        <v>62</v>
      </c>
      <c r="C838" s="32" t="s">
        <v>154</v>
      </c>
      <c r="D838" s="32">
        <v>68.510000000000005</v>
      </c>
      <c r="E838" s="32">
        <v>69</v>
      </c>
      <c r="F838" s="32" t="s">
        <v>181</v>
      </c>
      <c r="G838" s="32">
        <v>9.7888000000000002</v>
      </c>
      <c r="H838" s="32">
        <v>6.7888000000000002</v>
      </c>
      <c r="I838" s="32" t="s">
        <v>174</v>
      </c>
      <c r="J838" s="32">
        <v>2</v>
      </c>
      <c r="K838" s="32" t="s">
        <v>183</v>
      </c>
      <c r="L838" s="18">
        <f t="shared" si="13"/>
        <v>999999999</v>
      </c>
    </row>
    <row r="839" spans="1:12" ht="15" customHeight="1" x14ac:dyDescent="0.25">
      <c r="A839" s="32" t="s">
        <v>186</v>
      </c>
      <c r="B839" s="32" t="s">
        <v>62</v>
      </c>
      <c r="C839" s="32" t="s">
        <v>154</v>
      </c>
      <c r="D839" s="32">
        <v>69.010000000000005</v>
      </c>
      <c r="E839" s="32">
        <v>69.5</v>
      </c>
      <c r="F839" s="32" t="s">
        <v>181</v>
      </c>
      <c r="G839" s="32">
        <v>9.8228000000000009</v>
      </c>
      <c r="H839" s="32">
        <v>6.8228</v>
      </c>
      <c r="I839" s="32" t="s">
        <v>174</v>
      </c>
      <c r="J839" s="32">
        <v>2</v>
      </c>
      <c r="K839" s="32" t="s">
        <v>183</v>
      </c>
      <c r="L839" s="18">
        <f t="shared" si="13"/>
        <v>999999999</v>
      </c>
    </row>
    <row r="840" spans="1:12" ht="15" customHeight="1" x14ac:dyDescent="0.25">
      <c r="A840" s="32" t="s">
        <v>186</v>
      </c>
      <c r="B840" s="32" t="s">
        <v>62</v>
      </c>
      <c r="C840" s="32" t="s">
        <v>154</v>
      </c>
      <c r="D840" s="32">
        <v>69.510000000000005</v>
      </c>
      <c r="E840" s="32">
        <v>70</v>
      </c>
      <c r="F840" s="32" t="s">
        <v>181</v>
      </c>
      <c r="G840" s="32">
        <v>9.8567999999999998</v>
      </c>
      <c r="H840" s="32">
        <v>5.8567999999999998</v>
      </c>
      <c r="I840" s="32" t="s">
        <v>174</v>
      </c>
      <c r="J840" s="32">
        <v>2</v>
      </c>
      <c r="K840" s="32" t="s">
        <v>183</v>
      </c>
      <c r="L840" s="18">
        <f t="shared" si="13"/>
        <v>999999999</v>
      </c>
    </row>
    <row r="841" spans="1:12" ht="15" customHeight="1" x14ac:dyDescent="0.25">
      <c r="A841" s="32" t="s">
        <v>186</v>
      </c>
      <c r="B841" s="32" t="s">
        <v>62</v>
      </c>
      <c r="C841" s="32" t="s">
        <v>154</v>
      </c>
      <c r="D841" s="32">
        <v>70.010000000000005</v>
      </c>
      <c r="E841" s="32">
        <v>70.5</v>
      </c>
      <c r="F841" s="32" t="s">
        <v>181</v>
      </c>
      <c r="G841" s="32">
        <v>9.8908000000000005</v>
      </c>
      <c r="H841" s="32">
        <v>2.8908</v>
      </c>
      <c r="I841" s="32" t="s">
        <v>174</v>
      </c>
      <c r="J841" s="32">
        <v>2</v>
      </c>
      <c r="K841" s="32" t="s">
        <v>183</v>
      </c>
      <c r="L841" s="18">
        <f t="shared" si="13"/>
        <v>999999999</v>
      </c>
    </row>
    <row r="842" spans="1:12" ht="15" customHeight="1" x14ac:dyDescent="0.25">
      <c r="A842" s="32" t="s">
        <v>186</v>
      </c>
      <c r="B842" s="32" t="s">
        <v>62</v>
      </c>
      <c r="C842" s="32" t="s">
        <v>154</v>
      </c>
      <c r="D842" s="32">
        <v>70.510000000000005</v>
      </c>
      <c r="E842" s="32">
        <v>71</v>
      </c>
      <c r="F842" s="32" t="s">
        <v>181</v>
      </c>
      <c r="G842" s="32">
        <v>9.9247999999999994</v>
      </c>
      <c r="H842" s="32">
        <v>3.9247999999999998</v>
      </c>
      <c r="I842" s="32" t="s">
        <v>174</v>
      </c>
      <c r="J842" s="32">
        <v>2</v>
      </c>
      <c r="K842" s="32" t="s">
        <v>183</v>
      </c>
      <c r="L842" s="18">
        <f t="shared" si="13"/>
        <v>999999999</v>
      </c>
    </row>
    <row r="843" spans="1:12" ht="15" customHeight="1" x14ac:dyDescent="0.25">
      <c r="A843" s="32" t="s">
        <v>186</v>
      </c>
      <c r="B843" s="32" t="s">
        <v>62</v>
      </c>
      <c r="C843" s="32" t="s">
        <v>154</v>
      </c>
      <c r="D843" s="32">
        <v>71.010000000000005</v>
      </c>
      <c r="E843" s="32">
        <v>71.5</v>
      </c>
      <c r="F843" s="32" t="s">
        <v>181</v>
      </c>
      <c r="G843" s="32">
        <v>9.9588000000000001</v>
      </c>
      <c r="H843" s="32">
        <v>3.9588000000000001</v>
      </c>
      <c r="I843" s="32" t="s">
        <v>174</v>
      </c>
      <c r="J843" s="32">
        <v>2</v>
      </c>
      <c r="K843" s="32" t="s">
        <v>183</v>
      </c>
      <c r="L843" s="18">
        <f t="shared" si="13"/>
        <v>999999999</v>
      </c>
    </row>
    <row r="844" spans="1:12" ht="15" customHeight="1" x14ac:dyDescent="0.25">
      <c r="A844" s="32" t="s">
        <v>186</v>
      </c>
      <c r="B844" s="32" t="s">
        <v>62</v>
      </c>
      <c r="C844" s="32" t="s">
        <v>154</v>
      </c>
      <c r="D844" s="32">
        <v>71.510000000000005</v>
      </c>
      <c r="E844" s="32">
        <v>72</v>
      </c>
      <c r="F844" s="32" t="s">
        <v>181</v>
      </c>
      <c r="G844" s="32">
        <v>9.9928000000000008</v>
      </c>
      <c r="H844" s="32">
        <v>6.9927999999999999</v>
      </c>
      <c r="I844" s="32" t="s">
        <v>174</v>
      </c>
      <c r="J844" s="32">
        <v>2</v>
      </c>
      <c r="K844" s="32" t="s">
        <v>183</v>
      </c>
      <c r="L844" s="18">
        <f t="shared" si="13"/>
        <v>999999999</v>
      </c>
    </row>
    <row r="845" spans="1:12" ht="15" customHeight="1" x14ac:dyDescent="0.25">
      <c r="A845" s="32" t="s">
        <v>186</v>
      </c>
      <c r="B845" s="32" t="s">
        <v>62</v>
      </c>
      <c r="C845" s="32" t="s">
        <v>154</v>
      </c>
      <c r="D845" s="32">
        <v>72.010000000000005</v>
      </c>
      <c r="E845" s="32">
        <v>72.5</v>
      </c>
      <c r="F845" s="32" t="s">
        <v>181</v>
      </c>
      <c r="G845" s="32">
        <v>11.0268</v>
      </c>
      <c r="H845" s="32">
        <v>4.0267999999999997</v>
      </c>
      <c r="I845" s="32" t="s">
        <v>174</v>
      </c>
      <c r="J845" s="32">
        <v>2</v>
      </c>
      <c r="K845" s="32" t="s">
        <v>183</v>
      </c>
      <c r="L845" s="18">
        <f t="shared" si="13"/>
        <v>999999999</v>
      </c>
    </row>
    <row r="846" spans="1:12" ht="15" customHeight="1" x14ac:dyDescent="0.25">
      <c r="A846" s="32" t="s">
        <v>186</v>
      </c>
      <c r="B846" s="32" t="s">
        <v>62</v>
      </c>
      <c r="C846" s="32" t="s">
        <v>154</v>
      </c>
      <c r="D846" s="32">
        <v>72.510000000000005</v>
      </c>
      <c r="E846" s="32">
        <v>73</v>
      </c>
      <c r="F846" s="32" t="s">
        <v>181</v>
      </c>
      <c r="G846" s="32">
        <v>11.0608</v>
      </c>
      <c r="H846" s="32">
        <v>3.0608</v>
      </c>
      <c r="I846" s="32" t="s">
        <v>174</v>
      </c>
      <c r="J846" s="32">
        <v>2</v>
      </c>
      <c r="K846" s="32" t="s">
        <v>183</v>
      </c>
      <c r="L846" s="18">
        <f t="shared" si="13"/>
        <v>999999999</v>
      </c>
    </row>
    <row r="847" spans="1:12" ht="15" customHeight="1" x14ac:dyDescent="0.25">
      <c r="A847" s="32" t="s">
        <v>186</v>
      </c>
      <c r="B847" s="32" t="s">
        <v>62</v>
      </c>
      <c r="C847" s="32" t="s">
        <v>154</v>
      </c>
      <c r="D847" s="32">
        <v>73.010000000000005</v>
      </c>
      <c r="E847" s="32">
        <v>73.5</v>
      </c>
      <c r="F847" s="32" t="s">
        <v>181</v>
      </c>
      <c r="G847" s="32">
        <v>11.094799999999999</v>
      </c>
      <c r="H847" s="32">
        <v>7.0948000000000002</v>
      </c>
      <c r="I847" s="32" t="s">
        <v>174</v>
      </c>
      <c r="J847" s="32">
        <v>2</v>
      </c>
      <c r="K847" s="32" t="s">
        <v>183</v>
      </c>
      <c r="L847" s="18">
        <f t="shared" si="13"/>
        <v>999999999</v>
      </c>
    </row>
    <row r="848" spans="1:12" ht="15" customHeight="1" x14ac:dyDescent="0.25">
      <c r="A848" s="32" t="s">
        <v>186</v>
      </c>
      <c r="B848" s="32" t="s">
        <v>62</v>
      </c>
      <c r="C848" s="32" t="s">
        <v>154</v>
      </c>
      <c r="D848" s="32">
        <v>73.510000000000005</v>
      </c>
      <c r="E848" s="32">
        <v>74</v>
      </c>
      <c r="F848" s="32" t="s">
        <v>181</v>
      </c>
      <c r="G848" s="32">
        <v>11.1288</v>
      </c>
      <c r="H848" s="32">
        <v>6.1288</v>
      </c>
      <c r="I848" s="32" t="s">
        <v>174</v>
      </c>
      <c r="J848" s="32">
        <v>2</v>
      </c>
      <c r="K848" s="32" t="s">
        <v>183</v>
      </c>
      <c r="L848" s="18">
        <f t="shared" si="13"/>
        <v>999999999</v>
      </c>
    </row>
    <row r="849" spans="1:12" ht="15" customHeight="1" x14ac:dyDescent="0.25">
      <c r="A849" s="32" t="s">
        <v>186</v>
      </c>
      <c r="B849" s="32" t="s">
        <v>62</v>
      </c>
      <c r="C849" s="32" t="s">
        <v>154</v>
      </c>
      <c r="D849" s="32">
        <v>74.010000000000005</v>
      </c>
      <c r="E849" s="32">
        <v>74.5</v>
      </c>
      <c r="F849" s="32" t="s">
        <v>181</v>
      </c>
      <c r="G849" s="32">
        <v>11.162800000000001</v>
      </c>
      <c r="H849" s="32">
        <v>7.1627999999999998</v>
      </c>
      <c r="I849" s="32" t="s">
        <v>174</v>
      </c>
      <c r="J849" s="32">
        <v>2</v>
      </c>
      <c r="K849" s="32" t="s">
        <v>183</v>
      </c>
      <c r="L849" s="18">
        <f t="shared" si="13"/>
        <v>999999999</v>
      </c>
    </row>
    <row r="850" spans="1:12" ht="15" customHeight="1" x14ac:dyDescent="0.25">
      <c r="A850" s="32" t="s">
        <v>186</v>
      </c>
      <c r="B850" s="32" t="s">
        <v>62</v>
      </c>
      <c r="C850" s="32" t="s">
        <v>154</v>
      </c>
      <c r="D850" s="32">
        <v>74.510000000000005</v>
      </c>
      <c r="E850" s="32">
        <v>75</v>
      </c>
      <c r="F850" s="32" t="s">
        <v>181</v>
      </c>
      <c r="G850" s="32">
        <v>11.1968</v>
      </c>
      <c r="H850" s="32">
        <v>4.1967999999999996</v>
      </c>
      <c r="I850" s="32" t="s">
        <v>174</v>
      </c>
      <c r="J850" s="32">
        <v>2</v>
      </c>
      <c r="K850" s="32" t="s">
        <v>183</v>
      </c>
      <c r="L850" s="18">
        <f t="shared" si="13"/>
        <v>999999999</v>
      </c>
    </row>
    <row r="851" spans="1:12" ht="15" customHeight="1" x14ac:dyDescent="0.25">
      <c r="A851" s="32" t="s">
        <v>186</v>
      </c>
      <c r="B851" s="32" t="s">
        <v>62</v>
      </c>
      <c r="C851" s="32" t="s">
        <v>154</v>
      </c>
      <c r="D851" s="32">
        <v>75.010000000000005</v>
      </c>
      <c r="E851" s="32">
        <v>99999.99</v>
      </c>
      <c r="F851" s="32" t="s">
        <v>181</v>
      </c>
      <c r="G851" s="32">
        <v>11.2216</v>
      </c>
      <c r="H851" s="32">
        <v>9.6000000000000002E-2</v>
      </c>
      <c r="I851" s="32" t="s">
        <v>174</v>
      </c>
      <c r="J851" s="32">
        <v>2</v>
      </c>
      <c r="K851" s="32" t="s">
        <v>183</v>
      </c>
      <c r="L851" s="18">
        <f t="shared" si="13"/>
        <v>999999999</v>
      </c>
    </row>
    <row r="852" spans="1:12" ht="15" customHeight="1" x14ac:dyDescent="0.25">
      <c r="A852" s="32" t="s">
        <v>177</v>
      </c>
      <c r="B852" s="32" t="s">
        <v>154</v>
      </c>
      <c r="C852" s="32" t="s">
        <v>154</v>
      </c>
      <c r="D852" s="32">
        <v>500</v>
      </c>
      <c r="E852" s="32">
        <v>1999.99</v>
      </c>
      <c r="F852" s="32" t="s">
        <v>173</v>
      </c>
      <c r="G852" s="32">
        <v>25.584</v>
      </c>
      <c r="H852" s="32">
        <v>5.3199999999999997E-2</v>
      </c>
      <c r="I852" s="32" t="s">
        <v>174</v>
      </c>
      <c r="J852" s="32">
        <v>2</v>
      </c>
      <c r="K852" s="32" t="s">
        <v>175</v>
      </c>
      <c r="L852" s="18">
        <f t="shared" si="13"/>
        <v>999999999</v>
      </c>
    </row>
    <row r="853" spans="1:12" ht="15" customHeight="1" x14ac:dyDescent="0.25">
      <c r="A853" s="32" t="s">
        <v>177</v>
      </c>
      <c r="B853" s="32" t="s">
        <v>154</v>
      </c>
      <c r="C853" s="32" t="s">
        <v>154</v>
      </c>
      <c r="D853" s="32">
        <v>100</v>
      </c>
      <c r="E853" s="32">
        <v>249.99</v>
      </c>
      <c r="F853" s="32" t="s">
        <v>173</v>
      </c>
      <c r="G853" s="32">
        <v>25.584</v>
      </c>
      <c r="H853" s="32">
        <v>5.3199999999999997E-2</v>
      </c>
      <c r="I853" s="32" t="s">
        <v>174</v>
      </c>
      <c r="J853" s="32">
        <v>2</v>
      </c>
      <c r="K853" s="32" t="s">
        <v>175</v>
      </c>
      <c r="L853" s="18">
        <f t="shared" si="13"/>
        <v>999999999</v>
      </c>
    </row>
    <row r="854" spans="1:12" ht="15" customHeight="1" x14ac:dyDescent="0.25">
      <c r="A854" s="32" t="s">
        <v>177</v>
      </c>
      <c r="B854" s="32" t="s">
        <v>154</v>
      </c>
      <c r="C854" s="32" t="s">
        <v>154</v>
      </c>
      <c r="D854" s="32">
        <v>0</v>
      </c>
      <c r="E854" s="32">
        <v>99.99</v>
      </c>
      <c r="F854" s="32" t="s">
        <v>173</v>
      </c>
      <c r="G854" s="32">
        <v>25.584</v>
      </c>
      <c r="H854" s="32">
        <v>5.3199999999999997E-2</v>
      </c>
      <c r="I854" s="32" t="s">
        <v>174</v>
      </c>
      <c r="J854" s="32">
        <v>2</v>
      </c>
      <c r="K854" s="32" t="s">
        <v>175</v>
      </c>
      <c r="L854" s="18">
        <f t="shared" si="13"/>
        <v>999999999</v>
      </c>
    </row>
    <row r="855" spans="1:12" ht="15" customHeight="1" x14ac:dyDescent="0.25">
      <c r="A855" s="32" t="s">
        <v>177</v>
      </c>
      <c r="B855" s="32" t="s">
        <v>154</v>
      </c>
      <c r="C855" s="32" t="s">
        <v>154</v>
      </c>
      <c r="D855" s="32">
        <v>2000</v>
      </c>
      <c r="E855" s="32">
        <v>99999.99</v>
      </c>
      <c r="F855" s="32" t="s">
        <v>173</v>
      </c>
      <c r="G855" s="32">
        <v>25.584</v>
      </c>
      <c r="H855" s="32">
        <v>5.3199999999999997E-2</v>
      </c>
      <c r="I855" s="32" t="s">
        <v>174</v>
      </c>
      <c r="J855" s="32">
        <v>2</v>
      </c>
      <c r="K855" s="32" t="s">
        <v>175</v>
      </c>
      <c r="L855" s="18">
        <f t="shared" si="13"/>
        <v>999999999</v>
      </c>
    </row>
    <row r="856" spans="1:12" ht="15" customHeight="1" x14ac:dyDescent="0.25">
      <c r="A856" s="32" t="s">
        <v>177</v>
      </c>
      <c r="B856" s="32" t="s">
        <v>154</v>
      </c>
      <c r="C856" s="32" t="s">
        <v>154</v>
      </c>
      <c r="D856" s="32">
        <v>250</v>
      </c>
      <c r="E856" s="32">
        <v>499.99</v>
      </c>
      <c r="F856" s="32" t="s">
        <v>173</v>
      </c>
      <c r="G856" s="32">
        <v>25.584</v>
      </c>
      <c r="H856" s="32">
        <v>5.3199999999999997E-2</v>
      </c>
      <c r="I856" s="32" t="s">
        <v>174</v>
      </c>
      <c r="J856" s="32">
        <v>2</v>
      </c>
      <c r="K856" s="32" t="s">
        <v>175</v>
      </c>
      <c r="L856" s="18">
        <f t="shared" si="13"/>
        <v>999999999</v>
      </c>
    </row>
    <row r="857" spans="1:12" ht="15" customHeight="1" x14ac:dyDescent="0.25">
      <c r="A857" s="32" t="s">
        <v>177</v>
      </c>
      <c r="B857" s="32" t="s">
        <v>178</v>
      </c>
      <c r="C857" s="32" t="s">
        <v>154</v>
      </c>
      <c r="D857" s="32">
        <v>100</v>
      </c>
      <c r="E857" s="32">
        <v>249.99</v>
      </c>
      <c r="F857" s="32" t="s">
        <v>173</v>
      </c>
      <c r="G857" s="32">
        <v>17.483599999999999</v>
      </c>
      <c r="H857" s="32">
        <v>0.17680000000000001</v>
      </c>
      <c r="I857" s="32" t="s">
        <v>174</v>
      </c>
      <c r="J857" s="32">
        <v>2</v>
      </c>
      <c r="K857" s="32" t="s">
        <v>175</v>
      </c>
      <c r="L857" s="18">
        <f t="shared" si="13"/>
        <v>999999999</v>
      </c>
    </row>
    <row r="858" spans="1:12" ht="15" customHeight="1" x14ac:dyDescent="0.25">
      <c r="A858" s="32" t="s">
        <v>177</v>
      </c>
      <c r="B858" s="32" t="s">
        <v>178</v>
      </c>
      <c r="C858" s="32" t="s">
        <v>154</v>
      </c>
      <c r="D858" s="32">
        <v>500</v>
      </c>
      <c r="E858" s="32">
        <v>1999.99</v>
      </c>
      <c r="F858" s="32" t="s">
        <v>173</v>
      </c>
      <c r="G858" s="32">
        <v>17.483599999999999</v>
      </c>
      <c r="H858" s="32">
        <v>0.17680000000000001</v>
      </c>
      <c r="I858" s="32" t="s">
        <v>174</v>
      </c>
      <c r="J858" s="32">
        <v>2</v>
      </c>
      <c r="K858" s="32" t="s">
        <v>175</v>
      </c>
      <c r="L858" s="18">
        <f t="shared" si="13"/>
        <v>999999999</v>
      </c>
    </row>
    <row r="859" spans="1:12" ht="15" customHeight="1" x14ac:dyDescent="0.25">
      <c r="A859" s="32" t="s">
        <v>177</v>
      </c>
      <c r="B859" s="32" t="s">
        <v>178</v>
      </c>
      <c r="C859" s="32" t="s">
        <v>154</v>
      </c>
      <c r="D859" s="32">
        <v>250</v>
      </c>
      <c r="E859" s="32">
        <v>499.99</v>
      </c>
      <c r="F859" s="32" t="s">
        <v>173</v>
      </c>
      <c r="G859" s="32">
        <v>17.483599999999999</v>
      </c>
      <c r="H859" s="32">
        <v>0.17680000000000001</v>
      </c>
      <c r="I859" s="32" t="s">
        <v>174</v>
      </c>
      <c r="J859" s="32">
        <v>2</v>
      </c>
      <c r="K859" s="32" t="s">
        <v>175</v>
      </c>
      <c r="L859" s="18">
        <f t="shared" si="13"/>
        <v>999999999</v>
      </c>
    </row>
    <row r="860" spans="1:12" ht="15" customHeight="1" x14ac:dyDescent="0.25">
      <c r="A860" s="32" t="s">
        <v>177</v>
      </c>
      <c r="B860" s="32" t="s">
        <v>178</v>
      </c>
      <c r="C860" s="32" t="s">
        <v>154</v>
      </c>
      <c r="D860" s="32">
        <v>0</v>
      </c>
      <c r="E860" s="32">
        <v>99.99</v>
      </c>
      <c r="F860" s="32" t="s">
        <v>173</v>
      </c>
      <c r="G860" s="32">
        <v>17.483599999999999</v>
      </c>
      <c r="H860" s="32">
        <v>0.17680000000000001</v>
      </c>
      <c r="I860" s="32" t="s">
        <v>174</v>
      </c>
      <c r="J860" s="32">
        <v>2</v>
      </c>
      <c r="K860" s="32" t="s">
        <v>175</v>
      </c>
      <c r="L860" s="18">
        <f t="shared" si="13"/>
        <v>999999999</v>
      </c>
    </row>
    <row r="861" spans="1:12" ht="15" customHeight="1" x14ac:dyDescent="0.25">
      <c r="A861" s="32" t="s">
        <v>177</v>
      </c>
      <c r="B861" s="32" t="s">
        <v>178</v>
      </c>
      <c r="C861" s="32" t="s">
        <v>154</v>
      </c>
      <c r="D861" s="32">
        <v>2000</v>
      </c>
      <c r="E861" s="32">
        <v>99999.99</v>
      </c>
      <c r="F861" s="32" t="s">
        <v>173</v>
      </c>
      <c r="G861" s="32">
        <v>17.483599999999999</v>
      </c>
      <c r="H861" s="32">
        <v>0.17680000000000001</v>
      </c>
      <c r="I861" s="32" t="s">
        <v>174</v>
      </c>
      <c r="J861" s="32">
        <v>2</v>
      </c>
      <c r="K861" s="32" t="s">
        <v>175</v>
      </c>
      <c r="L861" s="18">
        <f t="shared" si="13"/>
        <v>999999999</v>
      </c>
    </row>
    <row r="862" spans="1:12" ht="15" customHeight="1" x14ac:dyDescent="0.25">
      <c r="A862" s="32" t="s">
        <v>184</v>
      </c>
      <c r="B862" s="32" t="s">
        <v>59</v>
      </c>
      <c r="C862" s="32" t="s">
        <v>154</v>
      </c>
      <c r="D862" s="32">
        <v>500</v>
      </c>
      <c r="E862" s="32">
        <v>1999.99</v>
      </c>
      <c r="F862" s="32" t="s">
        <v>173</v>
      </c>
      <c r="G862" s="32">
        <v>3.4552</v>
      </c>
      <c r="H862" s="32">
        <v>5.4399999999999997E-2</v>
      </c>
      <c r="I862" s="32" t="s">
        <v>174</v>
      </c>
      <c r="J862" s="32">
        <v>2</v>
      </c>
      <c r="K862" s="32" t="s">
        <v>175</v>
      </c>
      <c r="L862" s="18">
        <f t="shared" si="13"/>
        <v>999999999</v>
      </c>
    </row>
    <row r="863" spans="1:12" ht="15" customHeight="1" x14ac:dyDescent="0.25">
      <c r="A863" s="32" t="s">
        <v>184</v>
      </c>
      <c r="B863" s="32" t="s">
        <v>59</v>
      </c>
      <c r="C863" s="32" t="s">
        <v>154</v>
      </c>
      <c r="D863" s="32">
        <v>0</v>
      </c>
      <c r="E863" s="32">
        <v>99.99</v>
      </c>
      <c r="F863" s="32" t="s">
        <v>173</v>
      </c>
      <c r="G863" s="32">
        <v>3.4552</v>
      </c>
      <c r="H863" s="32">
        <v>8.2400000000000001E-2</v>
      </c>
      <c r="I863" s="32" t="s">
        <v>174</v>
      </c>
      <c r="J863" s="32">
        <v>2</v>
      </c>
      <c r="K863" s="32" t="s">
        <v>175</v>
      </c>
      <c r="L863" s="18">
        <f t="shared" si="13"/>
        <v>999999999</v>
      </c>
    </row>
    <row r="864" spans="1:12" ht="15" customHeight="1" x14ac:dyDescent="0.25">
      <c r="A864" s="32" t="s">
        <v>184</v>
      </c>
      <c r="B864" s="32" t="s">
        <v>59</v>
      </c>
      <c r="C864" s="32" t="s">
        <v>154</v>
      </c>
      <c r="D864" s="32">
        <v>250</v>
      </c>
      <c r="E864" s="32">
        <v>499.99</v>
      </c>
      <c r="F864" s="32" t="s">
        <v>173</v>
      </c>
      <c r="G864" s="32">
        <v>3.4552</v>
      </c>
      <c r="H864" s="32">
        <v>5.4399999999999997E-2</v>
      </c>
      <c r="I864" s="32" t="s">
        <v>174</v>
      </c>
      <c r="J864" s="32">
        <v>2</v>
      </c>
      <c r="K864" s="32" t="s">
        <v>175</v>
      </c>
      <c r="L864" s="18">
        <f t="shared" si="13"/>
        <v>999999999</v>
      </c>
    </row>
    <row r="865" spans="1:12" ht="15" customHeight="1" x14ac:dyDescent="0.25">
      <c r="A865" s="32" t="s">
        <v>184</v>
      </c>
      <c r="B865" s="32" t="s">
        <v>59</v>
      </c>
      <c r="C865" s="32" t="s">
        <v>154</v>
      </c>
      <c r="D865" s="32">
        <v>2000</v>
      </c>
      <c r="E865" s="32">
        <v>99999.99</v>
      </c>
      <c r="F865" s="32" t="s">
        <v>173</v>
      </c>
      <c r="G865" s="32">
        <v>3.4552</v>
      </c>
      <c r="H865" s="32">
        <v>5.4399999999999997E-2</v>
      </c>
      <c r="I865" s="32" t="s">
        <v>174</v>
      </c>
      <c r="J865" s="32">
        <v>2</v>
      </c>
      <c r="K865" s="32" t="s">
        <v>175</v>
      </c>
      <c r="L865" s="18">
        <f t="shared" si="13"/>
        <v>44560.821600000003</v>
      </c>
    </row>
    <row r="866" spans="1:12" ht="15" customHeight="1" x14ac:dyDescent="0.25">
      <c r="A866" s="32" t="s">
        <v>184</v>
      </c>
      <c r="B866" s="32" t="s">
        <v>59</v>
      </c>
      <c r="C866" s="32" t="s">
        <v>154</v>
      </c>
      <c r="D866" s="32">
        <v>100</v>
      </c>
      <c r="E866" s="32">
        <v>249.99</v>
      </c>
      <c r="F866" s="32" t="s">
        <v>173</v>
      </c>
      <c r="G866" s="32">
        <v>3.4552</v>
      </c>
      <c r="H866" s="32">
        <v>5.6399999999999999E-2</v>
      </c>
      <c r="I866" s="32" t="s">
        <v>174</v>
      </c>
      <c r="J866" s="32">
        <v>2</v>
      </c>
      <c r="K866" s="32" t="s">
        <v>175</v>
      </c>
      <c r="L866" s="18">
        <f t="shared" si="13"/>
        <v>999999999</v>
      </c>
    </row>
    <row r="867" spans="1:12" ht="15" customHeight="1" x14ac:dyDescent="0.25">
      <c r="A867" s="32" t="s">
        <v>184</v>
      </c>
      <c r="B867" s="32" t="s">
        <v>59</v>
      </c>
      <c r="C867" s="32" t="s">
        <v>154</v>
      </c>
      <c r="D867" s="32">
        <v>2000</v>
      </c>
      <c r="E867" s="32">
        <v>99999.99</v>
      </c>
      <c r="F867" s="32" t="s">
        <v>181</v>
      </c>
      <c r="G867" s="32">
        <v>1.4992000000000001</v>
      </c>
      <c r="H867" s="32">
        <v>4.24E-2</v>
      </c>
      <c r="I867" s="32" t="s">
        <v>174</v>
      </c>
      <c r="J867" s="32">
        <v>2</v>
      </c>
      <c r="K867" s="32" t="s">
        <v>175</v>
      </c>
      <c r="L867" s="18">
        <f t="shared" si="13"/>
        <v>34731.228600000002</v>
      </c>
    </row>
    <row r="868" spans="1:12" ht="15" customHeight="1" x14ac:dyDescent="0.25">
      <c r="A868" s="32" t="s">
        <v>184</v>
      </c>
      <c r="B868" s="32" t="s">
        <v>59</v>
      </c>
      <c r="C868" s="32" t="s">
        <v>154</v>
      </c>
      <c r="D868" s="32">
        <v>100</v>
      </c>
      <c r="E868" s="32">
        <v>249.99</v>
      </c>
      <c r="F868" s="32" t="s">
        <v>181</v>
      </c>
      <c r="G868" s="32">
        <v>1.4992000000000001</v>
      </c>
      <c r="H868" s="32">
        <v>4.24E-2</v>
      </c>
      <c r="I868" s="32" t="s">
        <v>174</v>
      </c>
      <c r="J868" s="32">
        <v>2</v>
      </c>
      <c r="K868" s="32" t="s">
        <v>175</v>
      </c>
      <c r="L868" s="18">
        <f t="shared" si="13"/>
        <v>999999999</v>
      </c>
    </row>
    <row r="869" spans="1:12" ht="15" customHeight="1" x14ac:dyDescent="0.25">
      <c r="A869" s="32" t="s">
        <v>184</v>
      </c>
      <c r="B869" s="32" t="s">
        <v>59</v>
      </c>
      <c r="C869" s="32" t="s">
        <v>154</v>
      </c>
      <c r="D869" s="32">
        <v>250</v>
      </c>
      <c r="E869" s="32">
        <v>499.99</v>
      </c>
      <c r="F869" s="32" t="s">
        <v>181</v>
      </c>
      <c r="G869" s="32">
        <v>1.4992000000000001</v>
      </c>
      <c r="H869" s="32">
        <v>4.24E-2</v>
      </c>
      <c r="I869" s="32" t="s">
        <v>174</v>
      </c>
      <c r="J869" s="32">
        <v>2</v>
      </c>
      <c r="K869" s="32" t="s">
        <v>175</v>
      </c>
      <c r="L869" s="18">
        <f t="shared" si="13"/>
        <v>999999999</v>
      </c>
    </row>
    <row r="870" spans="1:12" ht="15" customHeight="1" x14ac:dyDescent="0.25">
      <c r="A870" s="32" t="s">
        <v>184</v>
      </c>
      <c r="B870" s="32" t="s">
        <v>59</v>
      </c>
      <c r="C870" s="32" t="s">
        <v>154</v>
      </c>
      <c r="D870" s="32">
        <v>500</v>
      </c>
      <c r="E870" s="32">
        <v>1999.99</v>
      </c>
      <c r="F870" s="32" t="s">
        <v>181</v>
      </c>
      <c r="G870" s="32">
        <v>1.4992000000000001</v>
      </c>
      <c r="H870" s="32">
        <v>4.24E-2</v>
      </c>
      <c r="I870" s="32" t="s">
        <v>174</v>
      </c>
      <c r="J870" s="32">
        <v>2</v>
      </c>
      <c r="K870" s="32" t="s">
        <v>175</v>
      </c>
      <c r="L870" s="18">
        <f t="shared" si="13"/>
        <v>999999999</v>
      </c>
    </row>
    <row r="871" spans="1:12" ht="15" customHeight="1" x14ac:dyDescent="0.25">
      <c r="A871" s="32" t="s">
        <v>184</v>
      </c>
      <c r="B871" s="32" t="s">
        <v>59</v>
      </c>
      <c r="C871" s="32" t="s">
        <v>154</v>
      </c>
      <c r="D871" s="32">
        <v>0</v>
      </c>
      <c r="E871" s="32">
        <v>99.99</v>
      </c>
      <c r="F871" s="32" t="s">
        <v>181</v>
      </c>
      <c r="G871" s="32">
        <v>1.4992000000000001</v>
      </c>
      <c r="H871" s="32">
        <v>4.8399999999999999E-2</v>
      </c>
      <c r="I871" s="32" t="s">
        <v>174</v>
      </c>
      <c r="J871" s="32">
        <v>2</v>
      </c>
      <c r="K871" s="32" t="s">
        <v>175</v>
      </c>
      <c r="L871" s="18">
        <f t="shared" si="13"/>
        <v>999999999</v>
      </c>
    </row>
    <row r="872" spans="1:12" ht="15" customHeight="1" x14ac:dyDescent="0.25">
      <c r="A872" s="32" t="s">
        <v>177</v>
      </c>
      <c r="B872" s="32" t="s">
        <v>59</v>
      </c>
      <c r="C872" s="32" t="s">
        <v>154</v>
      </c>
      <c r="D872" s="32">
        <v>2000</v>
      </c>
      <c r="E872" s="32">
        <v>99999.99</v>
      </c>
      <c r="F872" s="32" t="s">
        <v>173</v>
      </c>
      <c r="G872" s="32">
        <v>29.8812</v>
      </c>
      <c r="H872" s="32">
        <v>0.15559999999999999</v>
      </c>
      <c r="I872" s="32" t="s">
        <v>174</v>
      </c>
      <c r="J872" s="32">
        <v>2</v>
      </c>
      <c r="K872" s="32" t="s">
        <v>175</v>
      </c>
      <c r="L872" s="18">
        <f t="shared" si="13"/>
        <v>127457.05589999999</v>
      </c>
    </row>
    <row r="873" spans="1:12" ht="15" customHeight="1" x14ac:dyDescent="0.25">
      <c r="A873" s="32" t="s">
        <v>177</v>
      </c>
      <c r="B873" s="32" t="s">
        <v>59</v>
      </c>
      <c r="C873" s="32" t="s">
        <v>154</v>
      </c>
      <c r="D873" s="32">
        <v>100</v>
      </c>
      <c r="E873" s="32">
        <v>249.99</v>
      </c>
      <c r="F873" s="32" t="s">
        <v>173</v>
      </c>
      <c r="G873" s="32">
        <v>29.8812</v>
      </c>
      <c r="H873" s="32">
        <v>0.15559999999999999</v>
      </c>
      <c r="I873" s="32" t="s">
        <v>174</v>
      </c>
      <c r="J873" s="32">
        <v>2</v>
      </c>
      <c r="K873" s="32" t="s">
        <v>175</v>
      </c>
      <c r="L873" s="18">
        <f t="shared" si="13"/>
        <v>999999999</v>
      </c>
    </row>
    <row r="874" spans="1:12" ht="15" customHeight="1" x14ac:dyDescent="0.25">
      <c r="A874" s="32" t="s">
        <v>177</v>
      </c>
      <c r="B874" s="32" t="s">
        <v>59</v>
      </c>
      <c r="C874" s="32" t="s">
        <v>154</v>
      </c>
      <c r="D874" s="32">
        <v>0</v>
      </c>
      <c r="E874" s="32">
        <v>99.99</v>
      </c>
      <c r="F874" s="32" t="s">
        <v>173</v>
      </c>
      <c r="G874" s="32">
        <v>29.8812</v>
      </c>
      <c r="H874" s="32">
        <v>0.15559999999999999</v>
      </c>
      <c r="I874" s="32" t="s">
        <v>174</v>
      </c>
      <c r="J874" s="32">
        <v>2</v>
      </c>
      <c r="K874" s="32" t="s">
        <v>175</v>
      </c>
      <c r="L874" s="18">
        <f t="shared" si="13"/>
        <v>999999999</v>
      </c>
    </row>
    <row r="875" spans="1:12" ht="15" customHeight="1" x14ac:dyDescent="0.25">
      <c r="A875" s="32" t="s">
        <v>177</v>
      </c>
      <c r="B875" s="32" t="s">
        <v>59</v>
      </c>
      <c r="C875" s="32" t="s">
        <v>154</v>
      </c>
      <c r="D875" s="32">
        <v>250</v>
      </c>
      <c r="E875" s="32">
        <v>499.99</v>
      </c>
      <c r="F875" s="32" t="s">
        <v>173</v>
      </c>
      <c r="G875" s="32">
        <v>29.8812</v>
      </c>
      <c r="H875" s="32">
        <v>0.15559999999999999</v>
      </c>
      <c r="I875" s="32" t="s">
        <v>174</v>
      </c>
      <c r="J875" s="32">
        <v>2</v>
      </c>
      <c r="K875" s="32" t="s">
        <v>175</v>
      </c>
      <c r="L875" s="18">
        <f t="shared" si="13"/>
        <v>999999999</v>
      </c>
    </row>
    <row r="876" spans="1:12" ht="15" customHeight="1" x14ac:dyDescent="0.25">
      <c r="A876" s="32" t="s">
        <v>177</v>
      </c>
      <c r="B876" s="32" t="s">
        <v>59</v>
      </c>
      <c r="C876" s="32" t="s">
        <v>154</v>
      </c>
      <c r="D876" s="32">
        <v>500</v>
      </c>
      <c r="E876" s="32">
        <v>1999.99</v>
      </c>
      <c r="F876" s="32" t="s">
        <v>173</v>
      </c>
      <c r="G876" s="32">
        <v>29.8812</v>
      </c>
      <c r="H876" s="32">
        <v>0.15559999999999999</v>
      </c>
      <c r="I876" s="32" t="s">
        <v>174</v>
      </c>
      <c r="J876" s="32">
        <v>2</v>
      </c>
      <c r="K876" s="32" t="s">
        <v>175</v>
      </c>
      <c r="L876" s="18">
        <f t="shared" si="13"/>
        <v>999999999</v>
      </c>
    </row>
    <row r="877" spans="1:12" ht="15" customHeight="1" x14ac:dyDescent="0.25">
      <c r="A877" s="32" t="s">
        <v>182</v>
      </c>
      <c r="B877" s="32" t="s">
        <v>59</v>
      </c>
      <c r="C877" s="32" t="s">
        <v>154</v>
      </c>
      <c r="D877" s="32">
        <v>0.01</v>
      </c>
      <c r="E877" s="32">
        <v>0.5</v>
      </c>
      <c r="F877" s="32" t="s">
        <v>173</v>
      </c>
      <c r="G877" s="32">
        <v>1.202</v>
      </c>
      <c r="H877" s="32">
        <v>0.20200000000000001</v>
      </c>
      <c r="I877" s="32" t="s">
        <v>174</v>
      </c>
      <c r="J877" s="32">
        <v>2</v>
      </c>
      <c r="K877" s="32" t="s">
        <v>183</v>
      </c>
      <c r="L877" s="18">
        <f t="shared" si="13"/>
        <v>999999999</v>
      </c>
    </row>
    <row r="878" spans="1:12" ht="15" customHeight="1" x14ac:dyDescent="0.25">
      <c r="A878" s="32" t="s">
        <v>182</v>
      </c>
      <c r="B878" s="32" t="s">
        <v>59</v>
      </c>
      <c r="C878" s="32" t="s">
        <v>154</v>
      </c>
      <c r="D878" s="32">
        <v>0.51</v>
      </c>
      <c r="E878" s="32">
        <v>1</v>
      </c>
      <c r="F878" s="32" t="s">
        <v>173</v>
      </c>
      <c r="G878" s="32">
        <v>1.2604</v>
      </c>
      <c r="H878" s="32">
        <v>0.26040000000000002</v>
      </c>
      <c r="I878" s="32" t="s">
        <v>174</v>
      </c>
      <c r="J878" s="32">
        <v>2</v>
      </c>
      <c r="K878" s="32" t="s">
        <v>183</v>
      </c>
      <c r="L878" s="18">
        <f t="shared" si="13"/>
        <v>999999999</v>
      </c>
    </row>
    <row r="879" spans="1:12" ht="15" customHeight="1" x14ac:dyDescent="0.25">
      <c r="A879" s="32" t="s">
        <v>182</v>
      </c>
      <c r="B879" s="32" t="s">
        <v>59</v>
      </c>
      <c r="C879" s="32" t="s">
        <v>154</v>
      </c>
      <c r="D879" s="32">
        <v>1.01</v>
      </c>
      <c r="E879" s="32">
        <v>1.5</v>
      </c>
      <c r="F879" s="32" t="s">
        <v>173</v>
      </c>
      <c r="G879" s="32">
        <v>1.3191999999999999</v>
      </c>
      <c r="H879" s="32">
        <v>0.31919999999999998</v>
      </c>
      <c r="I879" s="32" t="s">
        <v>174</v>
      </c>
      <c r="J879" s="32">
        <v>2</v>
      </c>
      <c r="K879" s="32" t="s">
        <v>183</v>
      </c>
      <c r="L879" s="18">
        <f t="shared" si="13"/>
        <v>999999999</v>
      </c>
    </row>
    <row r="880" spans="1:12" ht="15" customHeight="1" x14ac:dyDescent="0.25">
      <c r="A880" s="32" t="s">
        <v>182</v>
      </c>
      <c r="B880" s="32" t="s">
        <v>59</v>
      </c>
      <c r="C880" s="32" t="s">
        <v>154</v>
      </c>
      <c r="D880" s="32">
        <v>1.51</v>
      </c>
      <c r="E880" s="32">
        <v>2</v>
      </c>
      <c r="F880" s="32" t="s">
        <v>173</v>
      </c>
      <c r="G880" s="32">
        <v>1.3804000000000001</v>
      </c>
      <c r="H880" s="32">
        <v>0.38040000000000002</v>
      </c>
      <c r="I880" s="32" t="s">
        <v>174</v>
      </c>
      <c r="J880" s="32">
        <v>2</v>
      </c>
      <c r="K880" s="32" t="s">
        <v>183</v>
      </c>
      <c r="L880" s="18">
        <f t="shared" si="13"/>
        <v>999999999</v>
      </c>
    </row>
    <row r="881" spans="1:12" ht="15" customHeight="1" x14ac:dyDescent="0.25">
      <c r="A881" s="32" t="s">
        <v>182</v>
      </c>
      <c r="B881" s="32" t="s">
        <v>59</v>
      </c>
      <c r="C881" s="32" t="s">
        <v>154</v>
      </c>
      <c r="D881" s="32">
        <v>2.0099999999999998</v>
      </c>
      <c r="E881" s="32">
        <v>2.5</v>
      </c>
      <c r="F881" s="32" t="s">
        <v>173</v>
      </c>
      <c r="G881" s="32">
        <v>1.4416</v>
      </c>
      <c r="H881" s="32">
        <v>0.44159999999999999</v>
      </c>
      <c r="I881" s="32" t="s">
        <v>174</v>
      </c>
      <c r="J881" s="32">
        <v>2</v>
      </c>
      <c r="K881" s="32" t="s">
        <v>183</v>
      </c>
      <c r="L881" s="18">
        <f t="shared" si="13"/>
        <v>999999999</v>
      </c>
    </row>
    <row r="882" spans="1:12" ht="15" customHeight="1" x14ac:dyDescent="0.25">
      <c r="A882" s="32" t="s">
        <v>182</v>
      </c>
      <c r="B882" s="32" t="s">
        <v>59</v>
      </c>
      <c r="C882" s="32" t="s">
        <v>154</v>
      </c>
      <c r="D882" s="32">
        <v>70.510000000000005</v>
      </c>
      <c r="E882" s="32">
        <v>99.99</v>
      </c>
      <c r="F882" s="32" t="s">
        <v>173</v>
      </c>
      <c r="G882" s="32">
        <v>9.0884</v>
      </c>
      <c r="H882" s="32">
        <v>8.4400000000000003E-2</v>
      </c>
      <c r="I882" s="32" t="s">
        <v>174</v>
      </c>
      <c r="J882" s="32">
        <v>2</v>
      </c>
      <c r="K882" s="32" t="s">
        <v>183</v>
      </c>
      <c r="L882" s="18">
        <f t="shared" si="13"/>
        <v>999999999</v>
      </c>
    </row>
    <row r="883" spans="1:12" ht="15" customHeight="1" x14ac:dyDescent="0.25">
      <c r="A883" s="32" t="s">
        <v>182</v>
      </c>
      <c r="B883" s="32" t="s">
        <v>59</v>
      </c>
      <c r="C883" s="32" t="s">
        <v>154</v>
      </c>
      <c r="D883" s="32">
        <v>100</v>
      </c>
      <c r="E883" s="32">
        <v>299.99</v>
      </c>
      <c r="F883" s="32" t="s">
        <v>173</v>
      </c>
      <c r="G883" s="32">
        <v>11.6272</v>
      </c>
      <c r="H883" s="32">
        <v>8.3199999999999996E-2</v>
      </c>
      <c r="I883" s="32" t="s">
        <v>174</v>
      </c>
      <c r="J883" s="32">
        <v>2</v>
      </c>
      <c r="K883" s="32" t="s">
        <v>183</v>
      </c>
      <c r="L883" s="18">
        <f t="shared" si="13"/>
        <v>999999999</v>
      </c>
    </row>
    <row r="884" spans="1:12" ht="15" customHeight="1" x14ac:dyDescent="0.25">
      <c r="A884" s="32" t="s">
        <v>182</v>
      </c>
      <c r="B884" s="32" t="s">
        <v>59</v>
      </c>
      <c r="C884" s="32" t="s">
        <v>154</v>
      </c>
      <c r="D884" s="32">
        <v>300</v>
      </c>
      <c r="E884" s="32">
        <v>499.99</v>
      </c>
      <c r="F884" s="32" t="s">
        <v>173</v>
      </c>
      <c r="G884" s="32">
        <v>33.227200000000003</v>
      </c>
      <c r="H884" s="32">
        <v>8.1199999999999994E-2</v>
      </c>
      <c r="I884" s="32" t="s">
        <v>174</v>
      </c>
      <c r="J884" s="32">
        <v>2</v>
      </c>
      <c r="K884" s="32" t="s">
        <v>183</v>
      </c>
      <c r="L884" s="18">
        <f t="shared" si="13"/>
        <v>999999999</v>
      </c>
    </row>
    <row r="885" spans="1:12" ht="15" customHeight="1" x14ac:dyDescent="0.25">
      <c r="A885" s="32" t="s">
        <v>182</v>
      </c>
      <c r="B885" s="32" t="s">
        <v>59</v>
      </c>
      <c r="C885" s="32" t="s">
        <v>154</v>
      </c>
      <c r="D885" s="32">
        <v>500</v>
      </c>
      <c r="E885" s="32">
        <v>999.99</v>
      </c>
      <c r="F885" s="32" t="s">
        <v>173</v>
      </c>
      <c r="G885" s="32">
        <v>53.427199999999999</v>
      </c>
      <c r="H885" s="32">
        <v>0.08</v>
      </c>
      <c r="I885" s="32" t="s">
        <v>174</v>
      </c>
      <c r="J885" s="32">
        <v>2</v>
      </c>
      <c r="K885" s="32" t="s">
        <v>183</v>
      </c>
      <c r="L885" s="18">
        <f t="shared" si="13"/>
        <v>999999999</v>
      </c>
    </row>
    <row r="886" spans="1:12" ht="15" customHeight="1" x14ac:dyDescent="0.25">
      <c r="A886" s="32" t="s">
        <v>182</v>
      </c>
      <c r="B886" s="32" t="s">
        <v>59</v>
      </c>
      <c r="C886" s="32" t="s">
        <v>154</v>
      </c>
      <c r="D886" s="32">
        <v>1000</v>
      </c>
      <c r="E886" s="32">
        <v>9999.99</v>
      </c>
      <c r="F886" s="32" t="s">
        <v>173</v>
      </c>
      <c r="G886" s="32">
        <v>101.8272</v>
      </c>
      <c r="H886" s="32">
        <v>7.8E-2</v>
      </c>
      <c r="I886" s="32" t="s">
        <v>174</v>
      </c>
      <c r="J886" s="32">
        <v>2</v>
      </c>
      <c r="K886" s="32" t="s">
        <v>183</v>
      </c>
      <c r="L886" s="18">
        <f t="shared" si="13"/>
        <v>63892.354500000001</v>
      </c>
    </row>
    <row r="887" spans="1:12" ht="15" customHeight="1" x14ac:dyDescent="0.25">
      <c r="A887" s="32" t="s">
        <v>182</v>
      </c>
      <c r="B887" s="32" t="s">
        <v>59</v>
      </c>
      <c r="C887" s="32" t="s">
        <v>154</v>
      </c>
      <c r="D887" s="32">
        <v>0.01</v>
      </c>
      <c r="E887" s="32">
        <v>0.5</v>
      </c>
      <c r="F887" s="32" t="s">
        <v>173</v>
      </c>
      <c r="G887" s="32">
        <v>1.4263999999999999</v>
      </c>
      <c r="H887" s="32">
        <v>0.4264</v>
      </c>
      <c r="I887" s="32" t="s">
        <v>174</v>
      </c>
      <c r="J887" s="32">
        <v>2</v>
      </c>
      <c r="K887" s="32" t="s">
        <v>183</v>
      </c>
      <c r="L887" s="18">
        <f t="shared" si="13"/>
        <v>999999999</v>
      </c>
    </row>
    <row r="888" spans="1:12" ht="15" customHeight="1" x14ac:dyDescent="0.25">
      <c r="A888" s="32" t="s">
        <v>182</v>
      </c>
      <c r="B888" s="32" t="s">
        <v>59</v>
      </c>
      <c r="C888" s="32" t="s">
        <v>154</v>
      </c>
      <c r="D888" s="32">
        <v>0.51</v>
      </c>
      <c r="E888" s="32">
        <v>1</v>
      </c>
      <c r="F888" s="32" t="s">
        <v>173</v>
      </c>
      <c r="G888" s="32">
        <v>1.4396</v>
      </c>
      <c r="H888" s="32">
        <v>0.43959999999999999</v>
      </c>
      <c r="I888" s="32" t="s">
        <v>174</v>
      </c>
      <c r="J888" s="32">
        <v>2</v>
      </c>
      <c r="K888" s="32" t="s">
        <v>183</v>
      </c>
      <c r="L888" s="18">
        <f t="shared" si="13"/>
        <v>999999999</v>
      </c>
    </row>
    <row r="889" spans="1:12" ht="15" customHeight="1" x14ac:dyDescent="0.25">
      <c r="A889" s="32" t="s">
        <v>182</v>
      </c>
      <c r="B889" s="32" t="s">
        <v>59</v>
      </c>
      <c r="C889" s="32" t="s">
        <v>154</v>
      </c>
      <c r="D889" s="32">
        <v>1.01</v>
      </c>
      <c r="E889" s="32">
        <v>1.5</v>
      </c>
      <c r="F889" s="32" t="s">
        <v>173</v>
      </c>
      <c r="G889" s="32">
        <v>1.4823999999999999</v>
      </c>
      <c r="H889" s="32">
        <v>0.4824</v>
      </c>
      <c r="I889" s="32" t="s">
        <v>174</v>
      </c>
      <c r="J889" s="32">
        <v>2</v>
      </c>
      <c r="K889" s="32" t="s">
        <v>183</v>
      </c>
      <c r="L889" s="18">
        <f t="shared" si="13"/>
        <v>999999999</v>
      </c>
    </row>
    <row r="890" spans="1:12" ht="15" customHeight="1" x14ac:dyDescent="0.25">
      <c r="A890" s="32" t="s">
        <v>182</v>
      </c>
      <c r="B890" s="32" t="s">
        <v>59</v>
      </c>
      <c r="C890" s="32" t="s">
        <v>154</v>
      </c>
      <c r="D890" s="32">
        <v>1.51</v>
      </c>
      <c r="E890" s="32">
        <v>2</v>
      </c>
      <c r="F890" s="32" t="s">
        <v>173</v>
      </c>
      <c r="G890" s="32">
        <v>1.5251999999999999</v>
      </c>
      <c r="H890" s="32">
        <v>0.5252</v>
      </c>
      <c r="I890" s="32" t="s">
        <v>174</v>
      </c>
      <c r="J890" s="32">
        <v>2</v>
      </c>
      <c r="K890" s="32" t="s">
        <v>183</v>
      </c>
      <c r="L890" s="18">
        <f t="shared" si="13"/>
        <v>999999999</v>
      </c>
    </row>
    <row r="891" spans="1:12" ht="15" customHeight="1" x14ac:dyDescent="0.25">
      <c r="A891" s="32" t="s">
        <v>182</v>
      </c>
      <c r="B891" s="32" t="s">
        <v>59</v>
      </c>
      <c r="C891" s="32" t="s">
        <v>154</v>
      </c>
      <c r="D891" s="32">
        <v>2.0099999999999998</v>
      </c>
      <c r="E891" s="32">
        <v>2.5</v>
      </c>
      <c r="F891" s="32" t="s">
        <v>173</v>
      </c>
      <c r="G891" s="32">
        <v>1.5680000000000001</v>
      </c>
      <c r="H891" s="32">
        <v>0.56799999999999995</v>
      </c>
      <c r="I891" s="32" t="s">
        <v>174</v>
      </c>
      <c r="J891" s="32">
        <v>2</v>
      </c>
      <c r="K891" s="32" t="s">
        <v>183</v>
      </c>
      <c r="L891" s="18">
        <f t="shared" si="13"/>
        <v>999999999</v>
      </c>
    </row>
    <row r="892" spans="1:12" ht="15" customHeight="1" x14ac:dyDescent="0.25">
      <c r="A892" s="32" t="s">
        <v>182</v>
      </c>
      <c r="B892" s="32" t="s">
        <v>59</v>
      </c>
      <c r="C892" s="32" t="s">
        <v>154</v>
      </c>
      <c r="D892" s="32">
        <v>70.510000000000005</v>
      </c>
      <c r="E892" s="32">
        <v>99.99</v>
      </c>
      <c r="F892" s="32" t="s">
        <v>173</v>
      </c>
      <c r="G892" s="32">
        <v>7.8044000000000002</v>
      </c>
      <c r="H892" s="32">
        <v>8.0399999999999999E-2</v>
      </c>
      <c r="I892" s="32" t="s">
        <v>174</v>
      </c>
      <c r="J892" s="32">
        <v>2</v>
      </c>
      <c r="K892" s="32" t="s">
        <v>183</v>
      </c>
      <c r="L892" s="18">
        <f t="shared" si="13"/>
        <v>999999999</v>
      </c>
    </row>
    <row r="893" spans="1:12" ht="15" customHeight="1" x14ac:dyDescent="0.25">
      <c r="A893" s="32" t="s">
        <v>182</v>
      </c>
      <c r="B893" s="32" t="s">
        <v>59</v>
      </c>
      <c r="C893" s="32" t="s">
        <v>154</v>
      </c>
      <c r="D893" s="32">
        <v>100</v>
      </c>
      <c r="E893" s="32">
        <v>299.99</v>
      </c>
      <c r="F893" s="32" t="s">
        <v>173</v>
      </c>
      <c r="G893" s="32">
        <v>11.2272</v>
      </c>
      <c r="H893" s="32">
        <v>7.9200000000000007E-2</v>
      </c>
      <c r="I893" s="32" t="s">
        <v>174</v>
      </c>
      <c r="J893" s="32">
        <v>2</v>
      </c>
      <c r="K893" s="32" t="s">
        <v>183</v>
      </c>
      <c r="L893" s="18">
        <f t="shared" si="13"/>
        <v>999999999</v>
      </c>
    </row>
    <row r="894" spans="1:12" ht="15" customHeight="1" x14ac:dyDescent="0.25">
      <c r="A894" s="32" t="s">
        <v>182</v>
      </c>
      <c r="B894" s="32" t="s">
        <v>59</v>
      </c>
      <c r="C894" s="32" t="s">
        <v>154</v>
      </c>
      <c r="D894" s="32">
        <v>300</v>
      </c>
      <c r="E894" s="32">
        <v>499.99</v>
      </c>
      <c r="F894" s="32" t="s">
        <v>173</v>
      </c>
      <c r="G894" s="32">
        <v>31.267199999999999</v>
      </c>
      <c r="H894" s="32">
        <v>7.8E-2</v>
      </c>
      <c r="I894" s="32" t="s">
        <v>174</v>
      </c>
      <c r="J894" s="32">
        <v>2</v>
      </c>
      <c r="K894" s="32" t="s">
        <v>183</v>
      </c>
      <c r="L894" s="18">
        <f t="shared" si="13"/>
        <v>999999999</v>
      </c>
    </row>
    <row r="895" spans="1:12" ht="15" customHeight="1" x14ac:dyDescent="0.25">
      <c r="A895" s="32" t="s">
        <v>182</v>
      </c>
      <c r="B895" s="32" t="s">
        <v>59</v>
      </c>
      <c r="C895" s="32" t="s">
        <v>154</v>
      </c>
      <c r="D895" s="32">
        <v>500</v>
      </c>
      <c r="E895" s="32">
        <v>999.99</v>
      </c>
      <c r="F895" s="32" t="s">
        <v>173</v>
      </c>
      <c r="G895" s="32">
        <v>49.427199999999999</v>
      </c>
      <c r="H895" s="32">
        <v>7.5999999999999998E-2</v>
      </c>
      <c r="I895" s="32" t="s">
        <v>174</v>
      </c>
      <c r="J895" s="32">
        <v>2</v>
      </c>
      <c r="K895" s="32" t="s">
        <v>183</v>
      </c>
      <c r="L895" s="18">
        <f t="shared" si="13"/>
        <v>999999999</v>
      </c>
    </row>
    <row r="896" spans="1:12" ht="15" customHeight="1" x14ac:dyDescent="0.25">
      <c r="A896" s="32" t="s">
        <v>182</v>
      </c>
      <c r="B896" s="32" t="s">
        <v>59</v>
      </c>
      <c r="C896" s="32" t="s">
        <v>154</v>
      </c>
      <c r="D896" s="32">
        <v>1000</v>
      </c>
      <c r="E896" s="32">
        <v>9999.99</v>
      </c>
      <c r="F896" s="32" t="s">
        <v>173</v>
      </c>
      <c r="G896" s="32">
        <v>95.227199999999996</v>
      </c>
      <c r="H896" s="32">
        <v>7.4399999999999994E-2</v>
      </c>
      <c r="I896" s="32" t="s">
        <v>174</v>
      </c>
      <c r="J896" s="32">
        <v>2</v>
      </c>
      <c r="K896" s="32" t="s">
        <v>183</v>
      </c>
      <c r="L896" s="18">
        <f t="shared" si="13"/>
        <v>60943.476599999995</v>
      </c>
    </row>
    <row r="897" spans="1:12" ht="15" customHeight="1" x14ac:dyDescent="0.25">
      <c r="A897" s="32" t="s">
        <v>177</v>
      </c>
      <c r="B897" s="32" t="s">
        <v>52</v>
      </c>
      <c r="C897" s="32" t="s">
        <v>154</v>
      </c>
      <c r="D897" s="32">
        <v>100</v>
      </c>
      <c r="E897" s="32">
        <v>249.99</v>
      </c>
      <c r="F897" s="32" t="s">
        <v>173</v>
      </c>
      <c r="G897" s="32">
        <v>25.332799999999999</v>
      </c>
      <c r="H897" s="32">
        <v>0.1076</v>
      </c>
      <c r="I897" s="32" t="s">
        <v>174</v>
      </c>
      <c r="J897" s="32">
        <v>2</v>
      </c>
      <c r="K897" s="32" t="s">
        <v>175</v>
      </c>
      <c r="L897" s="18">
        <f t="shared" si="13"/>
        <v>999999999</v>
      </c>
    </row>
    <row r="898" spans="1:12" ht="15" customHeight="1" x14ac:dyDescent="0.25">
      <c r="A898" s="32" t="s">
        <v>177</v>
      </c>
      <c r="B898" s="32" t="s">
        <v>52</v>
      </c>
      <c r="C898" s="32" t="s">
        <v>154</v>
      </c>
      <c r="D898" s="32">
        <v>2000</v>
      </c>
      <c r="E898" s="32">
        <v>99999.99</v>
      </c>
      <c r="F898" s="32" t="s">
        <v>173</v>
      </c>
      <c r="G898" s="32">
        <v>25.332799999999999</v>
      </c>
      <c r="H898" s="32">
        <v>0.1076</v>
      </c>
      <c r="I898" s="32" t="s">
        <v>174</v>
      </c>
      <c r="J898" s="32">
        <v>2</v>
      </c>
      <c r="K898" s="32" t="s">
        <v>175</v>
      </c>
      <c r="L898" s="18">
        <f t="shared" ref="L898:L961" si="14">IF(AND(B898=Quote_Port,D898&lt;=Quote_Weight,Quote_Weight&lt;=E898,OR(Quote_2Day="No",J898&lt;=2)),MAX(G898,Quote_Weight*H898)*Quote_USDINR,999999999)</f>
        <v>999999999</v>
      </c>
    </row>
    <row r="899" spans="1:12" ht="15" customHeight="1" x14ac:dyDescent="0.25">
      <c r="A899" s="32" t="s">
        <v>177</v>
      </c>
      <c r="B899" s="32" t="s">
        <v>52</v>
      </c>
      <c r="C899" s="32" t="s">
        <v>154</v>
      </c>
      <c r="D899" s="32">
        <v>500</v>
      </c>
      <c r="E899" s="32">
        <v>1999.99</v>
      </c>
      <c r="F899" s="32" t="s">
        <v>173</v>
      </c>
      <c r="G899" s="32">
        <v>25.332799999999999</v>
      </c>
      <c r="H899" s="32">
        <v>0.1076</v>
      </c>
      <c r="I899" s="32" t="s">
        <v>174</v>
      </c>
      <c r="J899" s="32">
        <v>2</v>
      </c>
      <c r="K899" s="32" t="s">
        <v>175</v>
      </c>
      <c r="L899" s="18">
        <f t="shared" si="14"/>
        <v>999999999</v>
      </c>
    </row>
    <row r="900" spans="1:12" ht="15" customHeight="1" x14ac:dyDescent="0.25">
      <c r="A900" s="32" t="s">
        <v>177</v>
      </c>
      <c r="B900" s="32" t="s">
        <v>52</v>
      </c>
      <c r="C900" s="32" t="s">
        <v>154</v>
      </c>
      <c r="D900" s="32">
        <v>250</v>
      </c>
      <c r="E900" s="32">
        <v>499.99</v>
      </c>
      <c r="F900" s="32" t="s">
        <v>173</v>
      </c>
      <c r="G900" s="32">
        <v>25.332799999999999</v>
      </c>
      <c r="H900" s="32">
        <v>0.1076</v>
      </c>
      <c r="I900" s="32" t="s">
        <v>174</v>
      </c>
      <c r="J900" s="32">
        <v>2</v>
      </c>
      <c r="K900" s="32" t="s">
        <v>175</v>
      </c>
      <c r="L900" s="18">
        <f t="shared" si="14"/>
        <v>999999999</v>
      </c>
    </row>
    <row r="901" spans="1:12" ht="15" customHeight="1" x14ac:dyDescent="0.25">
      <c r="A901" s="32" t="s">
        <v>177</v>
      </c>
      <c r="B901" s="32" t="s">
        <v>52</v>
      </c>
      <c r="C901" s="32" t="s">
        <v>154</v>
      </c>
      <c r="D901" s="32">
        <v>0</v>
      </c>
      <c r="E901" s="32">
        <v>99.99</v>
      </c>
      <c r="F901" s="32" t="s">
        <v>173</v>
      </c>
      <c r="G901" s="32">
        <v>25.332799999999999</v>
      </c>
      <c r="H901" s="32">
        <v>0.1076</v>
      </c>
      <c r="I901" s="32" t="s">
        <v>174</v>
      </c>
      <c r="J901" s="32">
        <v>2</v>
      </c>
      <c r="K901" s="32" t="s">
        <v>175</v>
      </c>
      <c r="L901" s="18">
        <f t="shared" si="14"/>
        <v>999999999</v>
      </c>
    </row>
    <row r="902" spans="1:12" ht="15" customHeight="1" x14ac:dyDescent="0.25">
      <c r="A902" s="32" t="s">
        <v>185</v>
      </c>
      <c r="B902" s="32" t="s">
        <v>52</v>
      </c>
      <c r="C902" s="32" t="s">
        <v>154</v>
      </c>
      <c r="D902" s="32">
        <v>0</v>
      </c>
      <c r="E902" s="32">
        <v>99.99</v>
      </c>
      <c r="F902" s="32" t="s">
        <v>173</v>
      </c>
      <c r="G902" s="32">
        <v>7.1871999999999998</v>
      </c>
      <c r="H902" s="32">
        <v>8.5599999999999996E-2</v>
      </c>
      <c r="I902" s="32" t="s">
        <v>174</v>
      </c>
      <c r="J902" s="32">
        <v>2</v>
      </c>
      <c r="K902" s="32" t="s">
        <v>175</v>
      </c>
      <c r="L902" s="18">
        <f t="shared" si="14"/>
        <v>999999999</v>
      </c>
    </row>
    <row r="903" spans="1:12" ht="15" customHeight="1" x14ac:dyDescent="0.25">
      <c r="A903" s="32" t="s">
        <v>185</v>
      </c>
      <c r="B903" s="32" t="s">
        <v>52</v>
      </c>
      <c r="C903" s="32" t="s">
        <v>154</v>
      </c>
      <c r="D903" s="32">
        <v>100</v>
      </c>
      <c r="E903" s="32">
        <v>249.99</v>
      </c>
      <c r="F903" s="32" t="s">
        <v>173</v>
      </c>
      <c r="G903" s="32">
        <v>7.1871999999999998</v>
      </c>
      <c r="H903" s="32">
        <v>7.1999999999999995E-2</v>
      </c>
      <c r="I903" s="32" t="s">
        <v>174</v>
      </c>
      <c r="J903" s="32">
        <v>2</v>
      </c>
      <c r="K903" s="32" t="s">
        <v>175</v>
      </c>
      <c r="L903" s="18">
        <f t="shared" si="14"/>
        <v>999999999</v>
      </c>
    </row>
    <row r="904" spans="1:12" ht="15" customHeight="1" x14ac:dyDescent="0.25">
      <c r="A904" s="32" t="s">
        <v>185</v>
      </c>
      <c r="B904" s="32" t="s">
        <v>52</v>
      </c>
      <c r="C904" s="32" t="s">
        <v>154</v>
      </c>
      <c r="D904" s="32">
        <v>250</v>
      </c>
      <c r="E904" s="32">
        <v>499.99</v>
      </c>
      <c r="F904" s="32" t="s">
        <v>173</v>
      </c>
      <c r="G904" s="32">
        <v>7.1871999999999998</v>
      </c>
      <c r="H904" s="32">
        <v>7.1999999999999995E-2</v>
      </c>
      <c r="I904" s="32" t="s">
        <v>174</v>
      </c>
      <c r="J904" s="32">
        <v>2</v>
      </c>
      <c r="K904" s="32" t="s">
        <v>175</v>
      </c>
      <c r="L904" s="18">
        <f t="shared" si="14"/>
        <v>999999999</v>
      </c>
    </row>
    <row r="905" spans="1:12" ht="15" customHeight="1" x14ac:dyDescent="0.25">
      <c r="A905" s="32" t="s">
        <v>185</v>
      </c>
      <c r="B905" s="32" t="s">
        <v>52</v>
      </c>
      <c r="C905" s="32" t="s">
        <v>154</v>
      </c>
      <c r="D905" s="32">
        <v>2000</v>
      </c>
      <c r="E905" s="32">
        <v>99999.99</v>
      </c>
      <c r="F905" s="32" t="s">
        <v>173</v>
      </c>
      <c r="G905" s="32">
        <v>7.1871999999999998</v>
      </c>
      <c r="H905" s="32">
        <v>7.1999999999999995E-2</v>
      </c>
      <c r="I905" s="32" t="s">
        <v>174</v>
      </c>
      <c r="J905" s="32">
        <v>2</v>
      </c>
      <c r="K905" s="32" t="s">
        <v>175</v>
      </c>
      <c r="L905" s="18">
        <f t="shared" si="14"/>
        <v>999999999</v>
      </c>
    </row>
    <row r="906" spans="1:12" ht="15" customHeight="1" x14ac:dyDescent="0.25">
      <c r="A906" s="32" t="s">
        <v>185</v>
      </c>
      <c r="B906" s="32" t="s">
        <v>52</v>
      </c>
      <c r="C906" s="32" t="s">
        <v>154</v>
      </c>
      <c r="D906" s="32">
        <v>500</v>
      </c>
      <c r="E906" s="32">
        <v>1999.99</v>
      </c>
      <c r="F906" s="32" t="s">
        <v>173</v>
      </c>
      <c r="G906" s="32">
        <v>7.1871999999999998</v>
      </c>
      <c r="H906" s="32">
        <v>7.1999999999999995E-2</v>
      </c>
      <c r="I906" s="32" t="s">
        <v>174</v>
      </c>
      <c r="J906" s="32">
        <v>2</v>
      </c>
      <c r="K906" s="32" t="s">
        <v>175</v>
      </c>
      <c r="L906" s="18">
        <f t="shared" si="14"/>
        <v>999999999</v>
      </c>
    </row>
    <row r="907" spans="1:12" ht="15" customHeight="1" x14ac:dyDescent="0.25">
      <c r="A907" s="32" t="s">
        <v>185</v>
      </c>
      <c r="B907" s="32" t="s">
        <v>52</v>
      </c>
      <c r="C907" s="32" t="s">
        <v>154</v>
      </c>
      <c r="D907" s="32">
        <v>2000</v>
      </c>
      <c r="E907" s="32">
        <v>99999.99</v>
      </c>
      <c r="F907" s="32" t="s">
        <v>181</v>
      </c>
      <c r="G907" s="32">
        <v>5.3872</v>
      </c>
      <c r="H907" s="32">
        <v>5.7200000000000001E-2</v>
      </c>
      <c r="I907" s="32" t="s">
        <v>174</v>
      </c>
      <c r="J907" s="32">
        <v>2</v>
      </c>
      <c r="K907" s="32" t="s">
        <v>175</v>
      </c>
      <c r="L907" s="18">
        <f t="shared" si="14"/>
        <v>999999999</v>
      </c>
    </row>
    <row r="908" spans="1:12" ht="15" customHeight="1" x14ac:dyDescent="0.25">
      <c r="A908" s="32" t="s">
        <v>185</v>
      </c>
      <c r="B908" s="32" t="s">
        <v>52</v>
      </c>
      <c r="C908" s="32" t="s">
        <v>154</v>
      </c>
      <c r="D908" s="32">
        <v>0</v>
      </c>
      <c r="E908" s="32">
        <v>99.99</v>
      </c>
      <c r="F908" s="32" t="s">
        <v>181</v>
      </c>
      <c r="G908" s="32">
        <v>5.3872</v>
      </c>
      <c r="H908" s="32">
        <v>7.0800000000000002E-2</v>
      </c>
      <c r="I908" s="32" t="s">
        <v>174</v>
      </c>
      <c r="J908" s="32">
        <v>2</v>
      </c>
      <c r="K908" s="32" t="s">
        <v>175</v>
      </c>
      <c r="L908" s="18">
        <f t="shared" si="14"/>
        <v>999999999</v>
      </c>
    </row>
    <row r="909" spans="1:12" ht="15" customHeight="1" x14ac:dyDescent="0.25">
      <c r="A909" s="32" t="s">
        <v>185</v>
      </c>
      <c r="B909" s="32" t="s">
        <v>52</v>
      </c>
      <c r="C909" s="32" t="s">
        <v>154</v>
      </c>
      <c r="D909" s="32">
        <v>100</v>
      </c>
      <c r="E909" s="32">
        <v>249.99</v>
      </c>
      <c r="F909" s="32" t="s">
        <v>181</v>
      </c>
      <c r="G909" s="32">
        <v>5.3872</v>
      </c>
      <c r="H909" s="32">
        <v>5.7200000000000001E-2</v>
      </c>
      <c r="I909" s="32" t="s">
        <v>174</v>
      </c>
      <c r="J909" s="32">
        <v>2</v>
      </c>
      <c r="K909" s="32" t="s">
        <v>175</v>
      </c>
      <c r="L909" s="18">
        <f t="shared" si="14"/>
        <v>999999999</v>
      </c>
    </row>
    <row r="910" spans="1:12" ht="15" customHeight="1" x14ac:dyDescent="0.25">
      <c r="A910" s="32" t="s">
        <v>185</v>
      </c>
      <c r="B910" s="32" t="s">
        <v>52</v>
      </c>
      <c r="C910" s="32" t="s">
        <v>154</v>
      </c>
      <c r="D910" s="32">
        <v>500</v>
      </c>
      <c r="E910" s="32">
        <v>1999.99</v>
      </c>
      <c r="F910" s="32" t="s">
        <v>181</v>
      </c>
      <c r="G910" s="32">
        <v>5.0271999999999997</v>
      </c>
      <c r="H910" s="32">
        <v>5.9200000000000003E-2</v>
      </c>
      <c r="I910" s="32" t="s">
        <v>174</v>
      </c>
      <c r="J910" s="32">
        <v>2</v>
      </c>
      <c r="K910" s="32" t="s">
        <v>175</v>
      </c>
      <c r="L910" s="18">
        <f t="shared" si="14"/>
        <v>999999999</v>
      </c>
    </row>
    <row r="911" spans="1:12" ht="15" customHeight="1" x14ac:dyDescent="0.25">
      <c r="A911" s="32" t="s">
        <v>185</v>
      </c>
      <c r="B911" s="32" t="s">
        <v>52</v>
      </c>
      <c r="C911" s="32" t="s">
        <v>154</v>
      </c>
      <c r="D911" s="32">
        <v>2000</v>
      </c>
      <c r="E911" s="32">
        <v>99999.99</v>
      </c>
      <c r="F911" s="32" t="s">
        <v>181</v>
      </c>
      <c r="G911" s="32">
        <v>5.0271999999999997</v>
      </c>
      <c r="H911" s="32">
        <v>5.9200000000000003E-2</v>
      </c>
      <c r="I911" s="32" t="s">
        <v>174</v>
      </c>
      <c r="J911" s="32">
        <v>2</v>
      </c>
      <c r="K911" s="32" t="s">
        <v>175</v>
      </c>
      <c r="L911" s="18">
        <f t="shared" si="14"/>
        <v>999999999</v>
      </c>
    </row>
    <row r="912" spans="1:12" ht="15" customHeight="1" x14ac:dyDescent="0.25">
      <c r="A912" s="32" t="s">
        <v>185</v>
      </c>
      <c r="B912" s="32" t="s">
        <v>52</v>
      </c>
      <c r="C912" s="32" t="s">
        <v>154</v>
      </c>
      <c r="D912" s="32">
        <v>0</v>
      </c>
      <c r="E912" s="32">
        <v>99.99</v>
      </c>
      <c r="F912" s="32" t="s">
        <v>181</v>
      </c>
      <c r="G912" s="32">
        <v>1.7871999999999999</v>
      </c>
      <c r="H912" s="32">
        <v>7.2800000000000004E-2</v>
      </c>
      <c r="I912" s="32" t="s">
        <v>174</v>
      </c>
      <c r="J912" s="32">
        <v>2</v>
      </c>
      <c r="K912" s="32" t="s">
        <v>175</v>
      </c>
      <c r="L912" s="18">
        <f t="shared" si="14"/>
        <v>999999999</v>
      </c>
    </row>
    <row r="913" spans="1:12" ht="15" customHeight="1" x14ac:dyDescent="0.25">
      <c r="A913" s="32" t="s">
        <v>185</v>
      </c>
      <c r="B913" s="32" t="s">
        <v>52</v>
      </c>
      <c r="C913" s="32" t="s">
        <v>154</v>
      </c>
      <c r="D913" s="32">
        <v>250</v>
      </c>
      <c r="E913" s="32">
        <v>499.99</v>
      </c>
      <c r="F913" s="32" t="s">
        <v>181</v>
      </c>
      <c r="G913" s="32">
        <v>5.3872</v>
      </c>
      <c r="H913" s="32">
        <v>5.7200000000000001E-2</v>
      </c>
      <c r="I913" s="32" t="s">
        <v>174</v>
      </c>
      <c r="J913" s="32">
        <v>2</v>
      </c>
      <c r="K913" s="32" t="s">
        <v>175</v>
      </c>
      <c r="L913" s="18">
        <f t="shared" si="14"/>
        <v>999999999</v>
      </c>
    </row>
    <row r="914" spans="1:12" ht="15" customHeight="1" x14ac:dyDescent="0.25">
      <c r="A914" s="32" t="s">
        <v>185</v>
      </c>
      <c r="B914" s="32" t="s">
        <v>52</v>
      </c>
      <c r="C914" s="32" t="s">
        <v>154</v>
      </c>
      <c r="D914" s="32">
        <v>250</v>
      </c>
      <c r="E914" s="32">
        <v>499.99</v>
      </c>
      <c r="F914" s="32" t="s">
        <v>181</v>
      </c>
      <c r="G914" s="32">
        <v>5.0271999999999997</v>
      </c>
      <c r="H914" s="32">
        <v>5.9200000000000003E-2</v>
      </c>
      <c r="I914" s="32" t="s">
        <v>174</v>
      </c>
      <c r="J914" s="32">
        <v>2</v>
      </c>
      <c r="K914" s="32" t="s">
        <v>175</v>
      </c>
      <c r="L914" s="18">
        <f t="shared" si="14"/>
        <v>999999999</v>
      </c>
    </row>
    <row r="915" spans="1:12" ht="15" customHeight="1" x14ac:dyDescent="0.25">
      <c r="A915" s="32" t="s">
        <v>185</v>
      </c>
      <c r="B915" s="32" t="s">
        <v>52</v>
      </c>
      <c r="C915" s="32" t="s">
        <v>154</v>
      </c>
      <c r="D915" s="32">
        <v>500</v>
      </c>
      <c r="E915" s="32">
        <v>1999.99</v>
      </c>
      <c r="F915" s="32" t="s">
        <v>181</v>
      </c>
      <c r="G915" s="32">
        <v>1.7871999999999999</v>
      </c>
      <c r="H915" s="32">
        <v>5.9200000000000003E-2</v>
      </c>
      <c r="I915" s="32" t="s">
        <v>174</v>
      </c>
      <c r="J915" s="32">
        <v>2</v>
      </c>
      <c r="K915" s="32" t="s">
        <v>175</v>
      </c>
      <c r="L915" s="18">
        <f t="shared" si="14"/>
        <v>999999999</v>
      </c>
    </row>
    <row r="916" spans="1:12" ht="15" customHeight="1" x14ac:dyDescent="0.25">
      <c r="A916" s="32" t="s">
        <v>185</v>
      </c>
      <c r="B916" s="32" t="s">
        <v>52</v>
      </c>
      <c r="C916" s="32" t="s">
        <v>154</v>
      </c>
      <c r="D916" s="32">
        <v>100</v>
      </c>
      <c r="E916" s="32">
        <v>249.99</v>
      </c>
      <c r="F916" s="32" t="s">
        <v>181</v>
      </c>
      <c r="G916" s="32">
        <v>1.7871999999999999</v>
      </c>
      <c r="H916" s="32">
        <v>5.9200000000000003E-2</v>
      </c>
      <c r="I916" s="32" t="s">
        <v>174</v>
      </c>
      <c r="J916" s="32">
        <v>2</v>
      </c>
      <c r="K916" s="32" t="s">
        <v>175</v>
      </c>
      <c r="L916" s="18">
        <f t="shared" si="14"/>
        <v>999999999</v>
      </c>
    </row>
    <row r="917" spans="1:12" ht="15" customHeight="1" x14ac:dyDescent="0.25">
      <c r="A917" s="32" t="s">
        <v>185</v>
      </c>
      <c r="B917" s="32" t="s">
        <v>52</v>
      </c>
      <c r="C917" s="32" t="s">
        <v>154</v>
      </c>
      <c r="D917" s="32">
        <v>250</v>
      </c>
      <c r="E917" s="32">
        <v>499.99</v>
      </c>
      <c r="F917" s="32" t="s">
        <v>181</v>
      </c>
      <c r="G917" s="32">
        <v>1.7871999999999999</v>
      </c>
      <c r="H917" s="32">
        <v>5.9200000000000003E-2</v>
      </c>
      <c r="I917" s="32" t="s">
        <v>174</v>
      </c>
      <c r="J917" s="32">
        <v>2</v>
      </c>
      <c r="K917" s="32" t="s">
        <v>175</v>
      </c>
      <c r="L917" s="18">
        <f t="shared" si="14"/>
        <v>999999999</v>
      </c>
    </row>
    <row r="918" spans="1:12" ht="15" customHeight="1" x14ac:dyDescent="0.25">
      <c r="A918" s="32" t="s">
        <v>185</v>
      </c>
      <c r="B918" s="32" t="s">
        <v>52</v>
      </c>
      <c r="C918" s="32" t="s">
        <v>154</v>
      </c>
      <c r="D918" s="32">
        <v>100</v>
      </c>
      <c r="E918" s="32">
        <v>249.99</v>
      </c>
      <c r="F918" s="32" t="s">
        <v>181</v>
      </c>
      <c r="G918" s="32">
        <v>5.0271999999999997</v>
      </c>
      <c r="H918" s="32">
        <v>5.9200000000000003E-2</v>
      </c>
      <c r="I918" s="32" t="s">
        <v>174</v>
      </c>
      <c r="J918" s="32">
        <v>2</v>
      </c>
      <c r="K918" s="32" t="s">
        <v>175</v>
      </c>
      <c r="L918" s="18">
        <f t="shared" si="14"/>
        <v>999999999</v>
      </c>
    </row>
    <row r="919" spans="1:12" ht="15" customHeight="1" x14ac:dyDescent="0.25">
      <c r="A919" s="32" t="s">
        <v>185</v>
      </c>
      <c r="B919" s="32" t="s">
        <v>52</v>
      </c>
      <c r="C919" s="32" t="s">
        <v>154</v>
      </c>
      <c r="D919" s="32">
        <v>2000</v>
      </c>
      <c r="E919" s="32">
        <v>99999.99</v>
      </c>
      <c r="F919" s="32" t="s">
        <v>181</v>
      </c>
      <c r="G919" s="32">
        <v>1.7871999999999999</v>
      </c>
      <c r="H919" s="32">
        <v>5.9200000000000003E-2</v>
      </c>
      <c r="I919" s="32" t="s">
        <v>174</v>
      </c>
      <c r="J919" s="32">
        <v>2</v>
      </c>
      <c r="K919" s="32" t="s">
        <v>175</v>
      </c>
      <c r="L919" s="18">
        <f t="shared" si="14"/>
        <v>999999999</v>
      </c>
    </row>
    <row r="920" spans="1:12" ht="15" customHeight="1" x14ac:dyDescent="0.25">
      <c r="A920" s="32" t="s">
        <v>185</v>
      </c>
      <c r="B920" s="32" t="s">
        <v>52</v>
      </c>
      <c r="C920" s="32" t="s">
        <v>154</v>
      </c>
      <c r="D920" s="32">
        <v>500</v>
      </c>
      <c r="E920" s="32">
        <v>1999.99</v>
      </c>
      <c r="F920" s="32" t="s">
        <v>181</v>
      </c>
      <c r="G920" s="32">
        <v>5.3872</v>
      </c>
      <c r="H920" s="32">
        <v>5.7200000000000001E-2</v>
      </c>
      <c r="I920" s="32" t="s">
        <v>174</v>
      </c>
      <c r="J920" s="32">
        <v>2</v>
      </c>
      <c r="K920" s="32" t="s">
        <v>175</v>
      </c>
      <c r="L920" s="18">
        <f t="shared" si="14"/>
        <v>999999999</v>
      </c>
    </row>
    <row r="921" spans="1:12" ht="15" customHeight="1" x14ac:dyDescent="0.25">
      <c r="A921" s="32" t="s">
        <v>185</v>
      </c>
      <c r="B921" s="32" t="s">
        <v>52</v>
      </c>
      <c r="C921" s="32" t="s">
        <v>154</v>
      </c>
      <c r="D921" s="32">
        <v>0</v>
      </c>
      <c r="E921" s="32">
        <v>99.99</v>
      </c>
      <c r="F921" s="32" t="s">
        <v>181</v>
      </c>
      <c r="G921" s="32">
        <v>5.0271999999999997</v>
      </c>
      <c r="H921" s="32">
        <v>7.6399999999999996E-2</v>
      </c>
      <c r="I921" s="32" t="s">
        <v>174</v>
      </c>
      <c r="J921" s="32">
        <v>2</v>
      </c>
      <c r="K921" s="32" t="s">
        <v>175</v>
      </c>
      <c r="L921" s="18">
        <f t="shared" si="14"/>
        <v>999999999</v>
      </c>
    </row>
    <row r="922" spans="1:12" ht="15" customHeight="1" x14ac:dyDescent="0.25">
      <c r="A922" s="32" t="s">
        <v>185</v>
      </c>
      <c r="B922" s="32" t="s">
        <v>55</v>
      </c>
      <c r="C922" s="32" t="s">
        <v>154</v>
      </c>
      <c r="D922" s="32">
        <v>0</v>
      </c>
      <c r="E922" s="32">
        <v>99.99</v>
      </c>
      <c r="F922" s="32" t="s">
        <v>173</v>
      </c>
      <c r="G922" s="32">
        <v>11.607200000000001</v>
      </c>
      <c r="H922" s="32">
        <v>0.16159999999999999</v>
      </c>
      <c r="I922" s="32" t="s">
        <v>174</v>
      </c>
      <c r="J922" s="32">
        <v>2</v>
      </c>
      <c r="K922" s="32" t="s">
        <v>175</v>
      </c>
      <c r="L922" s="18">
        <f t="shared" si="14"/>
        <v>999999999</v>
      </c>
    </row>
    <row r="923" spans="1:12" ht="15" customHeight="1" x14ac:dyDescent="0.25">
      <c r="A923" s="32" t="s">
        <v>185</v>
      </c>
      <c r="B923" s="32" t="s">
        <v>55</v>
      </c>
      <c r="C923" s="32" t="s">
        <v>154</v>
      </c>
      <c r="D923" s="32">
        <v>100</v>
      </c>
      <c r="E923" s="32">
        <v>249.99</v>
      </c>
      <c r="F923" s="32" t="s">
        <v>173</v>
      </c>
      <c r="G923" s="32">
        <v>11.607200000000001</v>
      </c>
      <c r="H923" s="32">
        <v>0.1096</v>
      </c>
      <c r="I923" s="32" t="s">
        <v>174</v>
      </c>
      <c r="J923" s="32">
        <v>2</v>
      </c>
      <c r="K923" s="32" t="s">
        <v>175</v>
      </c>
      <c r="L923" s="18">
        <f t="shared" si="14"/>
        <v>999999999</v>
      </c>
    </row>
    <row r="924" spans="1:12" ht="15" customHeight="1" x14ac:dyDescent="0.25">
      <c r="A924" s="32" t="s">
        <v>185</v>
      </c>
      <c r="B924" s="32" t="s">
        <v>55</v>
      </c>
      <c r="C924" s="32" t="s">
        <v>154</v>
      </c>
      <c r="D924" s="32">
        <v>2000</v>
      </c>
      <c r="E924" s="32">
        <v>99999.99</v>
      </c>
      <c r="F924" s="32" t="s">
        <v>173</v>
      </c>
      <c r="G924" s="32">
        <v>11.607200000000001</v>
      </c>
      <c r="H924" s="32">
        <v>9.3600000000000003E-2</v>
      </c>
      <c r="I924" s="32" t="s">
        <v>174</v>
      </c>
      <c r="J924" s="32">
        <v>2</v>
      </c>
      <c r="K924" s="32" t="s">
        <v>175</v>
      </c>
      <c r="L924" s="18">
        <f t="shared" si="14"/>
        <v>999999999</v>
      </c>
    </row>
    <row r="925" spans="1:12" ht="15" customHeight="1" x14ac:dyDescent="0.25">
      <c r="A925" s="32" t="s">
        <v>185</v>
      </c>
      <c r="B925" s="32" t="s">
        <v>55</v>
      </c>
      <c r="C925" s="32" t="s">
        <v>154</v>
      </c>
      <c r="D925" s="32">
        <v>500</v>
      </c>
      <c r="E925" s="32">
        <v>1999.99</v>
      </c>
      <c r="F925" s="32" t="s">
        <v>173</v>
      </c>
      <c r="G925" s="32">
        <v>11.607200000000001</v>
      </c>
      <c r="H925" s="32">
        <v>9.64E-2</v>
      </c>
      <c r="I925" s="32" t="s">
        <v>174</v>
      </c>
      <c r="J925" s="32">
        <v>2</v>
      </c>
      <c r="K925" s="32" t="s">
        <v>175</v>
      </c>
      <c r="L925" s="18">
        <f t="shared" si="14"/>
        <v>999999999</v>
      </c>
    </row>
    <row r="926" spans="1:12" ht="15" customHeight="1" x14ac:dyDescent="0.25">
      <c r="A926" s="32" t="s">
        <v>185</v>
      </c>
      <c r="B926" s="32" t="s">
        <v>55</v>
      </c>
      <c r="C926" s="32" t="s">
        <v>154</v>
      </c>
      <c r="D926" s="32">
        <v>250</v>
      </c>
      <c r="E926" s="32">
        <v>499.99</v>
      </c>
      <c r="F926" s="32" t="s">
        <v>173</v>
      </c>
      <c r="G926" s="32">
        <v>11.607200000000001</v>
      </c>
      <c r="H926" s="32">
        <v>9.8400000000000001E-2</v>
      </c>
      <c r="I926" s="32" t="s">
        <v>174</v>
      </c>
      <c r="J926" s="32">
        <v>2</v>
      </c>
      <c r="K926" s="32" t="s">
        <v>175</v>
      </c>
      <c r="L926" s="18">
        <f t="shared" si="14"/>
        <v>999999999</v>
      </c>
    </row>
    <row r="927" spans="1:12" ht="15" customHeight="1" x14ac:dyDescent="0.25">
      <c r="A927" s="32" t="s">
        <v>185</v>
      </c>
      <c r="B927" s="32" t="s">
        <v>55</v>
      </c>
      <c r="C927" s="32" t="s">
        <v>154</v>
      </c>
      <c r="D927" s="32">
        <v>500</v>
      </c>
      <c r="E927" s="32">
        <v>1999.99</v>
      </c>
      <c r="F927" s="32" t="s">
        <v>181</v>
      </c>
      <c r="G927" s="32">
        <v>7.0072000000000001</v>
      </c>
      <c r="H927" s="32">
        <v>7.6399999999999996E-2</v>
      </c>
      <c r="I927" s="32" t="s">
        <v>174</v>
      </c>
      <c r="J927" s="32">
        <v>2</v>
      </c>
      <c r="K927" s="32" t="s">
        <v>175</v>
      </c>
      <c r="L927" s="18">
        <f t="shared" si="14"/>
        <v>999999999</v>
      </c>
    </row>
    <row r="928" spans="1:12" ht="15" customHeight="1" x14ac:dyDescent="0.25">
      <c r="A928" s="32" t="s">
        <v>185</v>
      </c>
      <c r="B928" s="32" t="s">
        <v>55</v>
      </c>
      <c r="C928" s="32" t="s">
        <v>154</v>
      </c>
      <c r="D928" s="32">
        <v>0</v>
      </c>
      <c r="E928" s="32">
        <v>99.99</v>
      </c>
      <c r="F928" s="32" t="s">
        <v>181</v>
      </c>
      <c r="G928" s="32">
        <v>7.0072000000000001</v>
      </c>
      <c r="H928" s="32">
        <v>0.1416</v>
      </c>
      <c r="I928" s="32" t="s">
        <v>174</v>
      </c>
      <c r="J928" s="32">
        <v>2</v>
      </c>
      <c r="K928" s="32" t="s">
        <v>175</v>
      </c>
      <c r="L928" s="18">
        <f t="shared" si="14"/>
        <v>999999999</v>
      </c>
    </row>
    <row r="929" spans="1:12" ht="15" customHeight="1" x14ac:dyDescent="0.25">
      <c r="A929" s="32" t="s">
        <v>185</v>
      </c>
      <c r="B929" s="32" t="s">
        <v>55</v>
      </c>
      <c r="C929" s="32" t="s">
        <v>154</v>
      </c>
      <c r="D929" s="32">
        <v>250</v>
      </c>
      <c r="E929" s="32">
        <v>499.99</v>
      </c>
      <c r="F929" s="32" t="s">
        <v>181</v>
      </c>
      <c r="G929" s="32">
        <v>7.0072000000000001</v>
      </c>
      <c r="H929" s="32">
        <v>8.0399999999999999E-2</v>
      </c>
      <c r="I929" s="32" t="s">
        <v>174</v>
      </c>
      <c r="J929" s="32">
        <v>2</v>
      </c>
      <c r="K929" s="32" t="s">
        <v>175</v>
      </c>
      <c r="L929" s="18">
        <f t="shared" si="14"/>
        <v>999999999</v>
      </c>
    </row>
    <row r="930" spans="1:12" ht="15" customHeight="1" x14ac:dyDescent="0.25">
      <c r="A930" s="32" t="s">
        <v>185</v>
      </c>
      <c r="B930" s="32" t="s">
        <v>55</v>
      </c>
      <c r="C930" s="32" t="s">
        <v>154</v>
      </c>
      <c r="D930" s="32">
        <v>2000</v>
      </c>
      <c r="E930" s="32">
        <v>99999.99</v>
      </c>
      <c r="F930" s="32" t="s">
        <v>181</v>
      </c>
      <c r="G930" s="32">
        <v>7.0072000000000001</v>
      </c>
      <c r="H930" s="32">
        <v>7.4399999999999994E-2</v>
      </c>
      <c r="I930" s="32" t="s">
        <v>174</v>
      </c>
      <c r="J930" s="32">
        <v>2</v>
      </c>
      <c r="K930" s="32" t="s">
        <v>175</v>
      </c>
      <c r="L930" s="18">
        <f t="shared" si="14"/>
        <v>999999999</v>
      </c>
    </row>
    <row r="931" spans="1:12" ht="15" customHeight="1" x14ac:dyDescent="0.25">
      <c r="A931" s="32" t="s">
        <v>185</v>
      </c>
      <c r="B931" s="32" t="s">
        <v>55</v>
      </c>
      <c r="C931" s="32" t="s">
        <v>154</v>
      </c>
      <c r="D931" s="32">
        <v>100</v>
      </c>
      <c r="E931" s="32">
        <v>249.99</v>
      </c>
      <c r="F931" s="32" t="s">
        <v>181</v>
      </c>
      <c r="G931" s="32">
        <v>7.0072000000000001</v>
      </c>
      <c r="H931" s="32">
        <v>8.5599999999999996E-2</v>
      </c>
      <c r="I931" s="32" t="s">
        <v>174</v>
      </c>
      <c r="J931" s="32">
        <v>2</v>
      </c>
      <c r="K931" s="32" t="s">
        <v>175</v>
      </c>
      <c r="L931" s="18">
        <f t="shared" si="14"/>
        <v>999999999</v>
      </c>
    </row>
    <row r="932" spans="1:12" ht="15" customHeight="1" x14ac:dyDescent="0.25">
      <c r="A932" s="32" t="s">
        <v>182</v>
      </c>
      <c r="B932" s="32" t="s">
        <v>55</v>
      </c>
      <c r="C932" s="32" t="s">
        <v>154</v>
      </c>
      <c r="D932" s="32">
        <v>0.01</v>
      </c>
      <c r="E932" s="32">
        <v>0.5</v>
      </c>
      <c r="F932" s="32" t="s">
        <v>173</v>
      </c>
      <c r="G932" s="32">
        <v>1.73996</v>
      </c>
      <c r="H932" s="32">
        <v>0.73995999999999995</v>
      </c>
      <c r="I932" s="32" t="s">
        <v>174</v>
      </c>
      <c r="J932" s="32">
        <v>2</v>
      </c>
      <c r="K932" s="32" t="s">
        <v>183</v>
      </c>
      <c r="L932" s="18">
        <f t="shared" si="14"/>
        <v>999999999</v>
      </c>
    </row>
    <row r="933" spans="1:12" ht="15" customHeight="1" x14ac:dyDescent="0.25">
      <c r="A933" s="32" t="s">
        <v>182</v>
      </c>
      <c r="B933" s="32" t="s">
        <v>55</v>
      </c>
      <c r="C933" s="32" t="s">
        <v>154</v>
      </c>
      <c r="D933" s="32">
        <v>0.51</v>
      </c>
      <c r="E933" s="32">
        <v>1</v>
      </c>
      <c r="F933" s="32" t="s">
        <v>173</v>
      </c>
      <c r="G933" s="32">
        <v>1.827304</v>
      </c>
      <c r="H933" s="32">
        <v>0.82730400000000004</v>
      </c>
      <c r="I933" s="32" t="s">
        <v>174</v>
      </c>
      <c r="J933" s="32">
        <v>2</v>
      </c>
      <c r="K933" s="32" t="s">
        <v>183</v>
      </c>
      <c r="L933" s="18">
        <f t="shared" si="14"/>
        <v>999999999</v>
      </c>
    </row>
    <row r="934" spans="1:12" ht="15" customHeight="1" x14ac:dyDescent="0.25">
      <c r="A934" s="32" t="s">
        <v>182</v>
      </c>
      <c r="B934" s="32" t="s">
        <v>55</v>
      </c>
      <c r="C934" s="32" t="s">
        <v>154</v>
      </c>
      <c r="D934" s="32">
        <v>1.01</v>
      </c>
      <c r="E934" s="32">
        <v>1.5</v>
      </c>
      <c r="F934" s="32" t="s">
        <v>173</v>
      </c>
      <c r="G934" s="32">
        <v>1.901464</v>
      </c>
      <c r="H934" s="32">
        <v>0.90146400000000004</v>
      </c>
      <c r="I934" s="32" t="s">
        <v>174</v>
      </c>
      <c r="J934" s="32">
        <v>2</v>
      </c>
      <c r="K934" s="32" t="s">
        <v>183</v>
      </c>
      <c r="L934" s="18">
        <f t="shared" si="14"/>
        <v>999999999</v>
      </c>
    </row>
    <row r="935" spans="1:12" ht="15" customHeight="1" x14ac:dyDescent="0.25">
      <c r="A935" s="32" t="s">
        <v>182</v>
      </c>
      <c r="B935" s="32" t="s">
        <v>55</v>
      </c>
      <c r="C935" s="32" t="s">
        <v>154</v>
      </c>
      <c r="D935" s="32">
        <v>1.51</v>
      </c>
      <c r="E935" s="32">
        <v>2</v>
      </c>
      <c r="F935" s="32" t="s">
        <v>173</v>
      </c>
      <c r="G935" s="32">
        <v>1.980156</v>
      </c>
      <c r="H935" s="32">
        <v>0.98015600000000003</v>
      </c>
      <c r="I935" s="32" t="s">
        <v>174</v>
      </c>
      <c r="J935" s="32">
        <v>2</v>
      </c>
      <c r="K935" s="32" t="s">
        <v>183</v>
      </c>
      <c r="L935" s="18">
        <f t="shared" si="14"/>
        <v>999999999</v>
      </c>
    </row>
    <row r="936" spans="1:12" ht="15" customHeight="1" x14ac:dyDescent="0.25">
      <c r="A936" s="32" t="s">
        <v>182</v>
      </c>
      <c r="B936" s="32" t="s">
        <v>55</v>
      </c>
      <c r="C936" s="32" t="s">
        <v>154</v>
      </c>
      <c r="D936" s="32">
        <v>2.0099999999999998</v>
      </c>
      <c r="E936" s="32">
        <v>2.5</v>
      </c>
      <c r="F936" s="32" t="s">
        <v>173</v>
      </c>
      <c r="G936" s="32">
        <v>3.0563760000000002</v>
      </c>
      <c r="H936" s="32">
        <v>1.056376</v>
      </c>
      <c r="I936" s="32" t="s">
        <v>174</v>
      </c>
      <c r="J936" s="32">
        <v>2</v>
      </c>
      <c r="K936" s="32" t="s">
        <v>183</v>
      </c>
      <c r="L936" s="18">
        <f t="shared" si="14"/>
        <v>999999999</v>
      </c>
    </row>
    <row r="937" spans="1:12" ht="15" customHeight="1" x14ac:dyDescent="0.25">
      <c r="A937" s="32" t="s">
        <v>182</v>
      </c>
      <c r="B937" s="32" t="s">
        <v>55</v>
      </c>
      <c r="C937" s="32" t="s">
        <v>154</v>
      </c>
      <c r="D937" s="32">
        <v>20.51</v>
      </c>
      <c r="E937" s="32">
        <v>44.99</v>
      </c>
      <c r="F937" s="32" t="s">
        <v>173</v>
      </c>
      <c r="G937" s="32">
        <v>7.0813560000000004</v>
      </c>
      <c r="H937" s="32">
        <v>0.17263600000000001</v>
      </c>
      <c r="I937" s="32" t="s">
        <v>174</v>
      </c>
      <c r="J937" s="32">
        <v>2</v>
      </c>
      <c r="K937" s="32" t="s">
        <v>183</v>
      </c>
      <c r="L937" s="18">
        <f t="shared" si="14"/>
        <v>999999999</v>
      </c>
    </row>
    <row r="938" spans="1:12" ht="15" customHeight="1" x14ac:dyDescent="0.25">
      <c r="A938" s="32" t="s">
        <v>182</v>
      </c>
      <c r="B938" s="32" t="s">
        <v>55</v>
      </c>
      <c r="C938" s="32" t="s">
        <v>154</v>
      </c>
      <c r="D938" s="32">
        <v>45</v>
      </c>
      <c r="E938" s="32">
        <v>70.989999999999995</v>
      </c>
      <c r="F938" s="32" t="s">
        <v>173</v>
      </c>
      <c r="G938" s="32">
        <v>11.5892</v>
      </c>
      <c r="H938" s="32">
        <v>0.15079999999999999</v>
      </c>
      <c r="I938" s="32" t="s">
        <v>174</v>
      </c>
      <c r="J938" s="32">
        <v>2</v>
      </c>
      <c r="K938" s="32" t="s">
        <v>183</v>
      </c>
      <c r="L938" s="18">
        <f t="shared" si="14"/>
        <v>999999999</v>
      </c>
    </row>
    <row r="939" spans="1:12" ht="15" customHeight="1" x14ac:dyDescent="0.25">
      <c r="A939" s="32" t="s">
        <v>182</v>
      </c>
      <c r="B939" s="32" t="s">
        <v>55</v>
      </c>
      <c r="C939" s="32" t="s">
        <v>154</v>
      </c>
      <c r="D939" s="32">
        <v>71</v>
      </c>
      <c r="E939" s="32">
        <v>99.99</v>
      </c>
      <c r="F939" s="32" t="s">
        <v>173</v>
      </c>
      <c r="G939" s="32">
        <v>17.130004</v>
      </c>
      <c r="H939" s="32">
        <v>0.14132400000000001</v>
      </c>
      <c r="I939" s="32" t="s">
        <v>174</v>
      </c>
      <c r="J939" s="32">
        <v>2</v>
      </c>
      <c r="K939" s="32" t="s">
        <v>183</v>
      </c>
      <c r="L939" s="18">
        <f t="shared" si="14"/>
        <v>999999999</v>
      </c>
    </row>
    <row r="940" spans="1:12" ht="15" customHeight="1" x14ac:dyDescent="0.25">
      <c r="A940" s="32" t="s">
        <v>182</v>
      </c>
      <c r="B940" s="32" t="s">
        <v>55</v>
      </c>
      <c r="C940" s="32" t="s">
        <v>154</v>
      </c>
      <c r="D940" s="32">
        <v>100</v>
      </c>
      <c r="E940" s="32">
        <v>299.99</v>
      </c>
      <c r="F940" s="32" t="s">
        <v>173</v>
      </c>
      <c r="G940" s="32">
        <v>21.574400000000001</v>
      </c>
      <c r="H940" s="32">
        <v>0.13267200000000001</v>
      </c>
      <c r="I940" s="32" t="s">
        <v>174</v>
      </c>
      <c r="J940" s="32">
        <v>2</v>
      </c>
      <c r="K940" s="32" t="s">
        <v>183</v>
      </c>
      <c r="L940" s="18">
        <f t="shared" si="14"/>
        <v>999999999</v>
      </c>
    </row>
    <row r="941" spans="1:12" ht="15" customHeight="1" x14ac:dyDescent="0.25">
      <c r="A941" s="32" t="s">
        <v>182</v>
      </c>
      <c r="B941" s="32" t="s">
        <v>55</v>
      </c>
      <c r="C941" s="32" t="s">
        <v>154</v>
      </c>
      <c r="D941" s="32">
        <v>300</v>
      </c>
      <c r="E941" s="32">
        <v>499.99</v>
      </c>
      <c r="F941" s="32" t="s">
        <v>173</v>
      </c>
      <c r="G941" s="32">
        <v>63.668799999999997</v>
      </c>
      <c r="H941" s="32">
        <v>0.13267200000000001</v>
      </c>
      <c r="I941" s="32" t="s">
        <v>174</v>
      </c>
      <c r="J941" s="32">
        <v>2</v>
      </c>
      <c r="K941" s="32" t="s">
        <v>183</v>
      </c>
      <c r="L941" s="18">
        <f t="shared" si="14"/>
        <v>999999999</v>
      </c>
    </row>
    <row r="942" spans="1:12" ht="15" customHeight="1" x14ac:dyDescent="0.25">
      <c r="A942" s="32" t="s">
        <v>182</v>
      </c>
      <c r="B942" s="32" t="s">
        <v>55</v>
      </c>
      <c r="C942" s="32" t="s">
        <v>154</v>
      </c>
      <c r="D942" s="32">
        <v>500</v>
      </c>
      <c r="E942" s="32">
        <v>999.99</v>
      </c>
      <c r="F942" s="32" t="s">
        <v>173</v>
      </c>
      <c r="G942" s="32">
        <v>105.7632</v>
      </c>
      <c r="H942" s="32">
        <v>0.13267200000000001</v>
      </c>
      <c r="I942" s="32" t="s">
        <v>174</v>
      </c>
      <c r="J942" s="32">
        <v>2</v>
      </c>
      <c r="K942" s="32" t="s">
        <v>183</v>
      </c>
      <c r="L942" s="18">
        <f t="shared" si="14"/>
        <v>999999999</v>
      </c>
    </row>
    <row r="943" spans="1:12" ht="15" customHeight="1" x14ac:dyDescent="0.25">
      <c r="A943" s="32" t="s">
        <v>182</v>
      </c>
      <c r="B943" s="32" t="s">
        <v>55</v>
      </c>
      <c r="C943" s="32" t="s">
        <v>154</v>
      </c>
      <c r="D943" s="32">
        <v>1000</v>
      </c>
      <c r="E943" s="32">
        <v>9999.99</v>
      </c>
      <c r="F943" s="32" t="s">
        <v>173</v>
      </c>
      <c r="G943" s="32">
        <v>211.4992</v>
      </c>
      <c r="H943" s="32">
        <v>0.13267200000000001</v>
      </c>
      <c r="I943" s="32" t="s">
        <v>174</v>
      </c>
      <c r="J943" s="32">
        <v>2</v>
      </c>
      <c r="K943" s="32" t="s">
        <v>183</v>
      </c>
      <c r="L943" s="18">
        <f t="shared" si="14"/>
        <v>999999999</v>
      </c>
    </row>
    <row r="944" spans="1:12" ht="15" customHeight="1" x14ac:dyDescent="0.25">
      <c r="A944" s="32" t="s">
        <v>182</v>
      </c>
      <c r="B944" s="32" t="s">
        <v>55</v>
      </c>
      <c r="C944" s="32" t="s">
        <v>154</v>
      </c>
      <c r="D944" s="32">
        <v>0.01</v>
      </c>
      <c r="E944" s="32">
        <v>0.5</v>
      </c>
      <c r="F944" s="32" t="s">
        <v>173</v>
      </c>
      <c r="G944" s="32">
        <v>1.734604</v>
      </c>
      <c r="H944" s="32">
        <v>0.73460400000000003</v>
      </c>
      <c r="I944" s="32" t="s">
        <v>174</v>
      </c>
      <c r="J944" s="32">
        <v>2</v>
      </c>
      <c r="K944" s="32" t="s">
        <v>183</v>
      </c>
      <c r="L944" s="18">
        <f t="shared" si="14"/>
        <v>999999999</v>
      </c>
    </row>
    <row r="945" spans="1:12" ht="15" customHeight="1" x14ac:dyDescent="0.25">
      <c r="A945" s="32" t="s">
        <v>182</v>
      </c>
      <c r="B945" s="32" t="s">
        <v>55</v>
      </c>
      <c r="C945" s="32" t="s">
        <v>154</v>
      </c>
      <c r="D945" s="32">
        <v>0.51</v>
      </c>
      <c r="E945" s="32">
        <v>1</v>
      </c>
      <c r="F945" s="32" t="s">
        <v>173</v>
      </c>
      <c r="G945" s="32">
        <v>1.8231839999999999</v>
      </c>
      <c r="H945" s="32">
        <v>0.82318400000000003</v>
      </c>
      <c r="I945" s="32" t="s">
        <v>174</v>
      </c>
      <c r="J945" s="32">
        <v>2</v>
      </c>
      <c r="K945" s="32" t="s">
        <v>183</v>
      </c>
      <c r="L945" s="18">
        <f t="shared" si="14"/>
        <v>999999999</v>
      </c>
    </row>
    <row r="946" spans="1:12" ht="15" customHeight="1" x14ac:dyDescent="0.25">
      <c r="A946" s="32" t="s">
        <v>182</v>
      </c>
      <c r="B946" s="32" t="s">
        <v>55</v>
      </c>
      <c r="C946" s="32" t="s">
        <v>154</v>
      </c>
      <c r="D946" s="32">
        <v>1.01</v>
      </c>
      <c r="E946" s="32">
        <v>1.5</v>
      </c>
      <c r="F946" s="32" t="s">
        <v>173</v>
      </c>
      <c r="G946" s="32">
        <v>1.911764</v>
      </c>
      <c r="H946" s="32">
        <v>0.91176400000000002</v>
      </c>
      <c r="I946" s="32" t="s">
        <v>174</v>
      </c>
      <c r="J946" s="32">
        <v>2</v>
      </c>
      <c r="K946" s="32" t="s">
        <v>183</v>
      </c>
      <c r="L946" s="18">
        <f t="shared" si="14"/>
        <v>999999999</v>
      </c>
    </row>
    <row r="947" spans="1:12" ht="15" customHeight="1" x14ac:dyDescent="0.25">
      <c r="A947" s="32" t="s">
        <v>182</v>
      </c>
      <c r="B947" s="32" t="s">
        <v>55</v>
      </c>
      <c r="C947" s="32" t="s">
        <v>154</v>
      </c>
      <c r="D947" s="32">
        <v>1.51</v>
      </c>
      <c r="E947" s="32">
        <v>2</v>
      </c>
      <c r="F947" s="32" t="s">
        <v>173</v>
      </c>
      <c r="G947" s="32">
        <v>3.0003440000000001</v>
      </c>
      <c r="H947" s="32">
        <v>1.0003439999999999</v>
      </c>
      <c r="I947" s="32" t="s">
        <v>174</v>
      </c>
      <c r="J947" s="32">
        <v>2</v>
      </c>
      <c r="K947" s="32" t="s">
        <v>183</v>
      </c>
      <c r="L947" s="18">
        <f t="shared" si="14"/>
        <v>999999999</v>
      </c>
    </row>
    <row r="948" spans="1:12" ht="15" customHeight="1" x14ac:dyDescent="0.25">
      <c r="A948" s="32" t="s">
        <v>182</v>
      </c>
      <c r="B948" s="32" t="s">
        <v>55</v>
      </c>
      <c r="C948" s="32" t="s">
        <v>154</v>
      </c>
      <c r="D948" s="32">
        <v>2.0099999999999998</v>
      </c>
      <c r="E948" s="32">
        <v>2.5</v>
      </c>
      <c r="F948" s="32" t="s">
        <v>173</v>
      </c>
      <c r="G948" s="32">
        <v>3.088924</v>
      </c>
      <c r="H948" s="32">
        <v>1.088924</v>
      </c>
      <c r="I948" s="32" t="s">
        <v>174</v>
      </c>
      <c r="J948" s="32">
        <v>2</v>
      </c>
      <c r="K948" s="32" t="s">
        <v>183</v>
      </c>
      <c r="L948" s="18">
        <f t="shared" si="14"/>
        <v>999999999</v>
      </c>
    </row>
    <row r="949" spans="1:12" ht="15" customHeight="1" x14ac:dyDescent="0.25">
      <c r="A949" s="32" t="s">
        <v>182</v>
      </c>
      <c r="B949" s="32" t="s">
        <v>55</v>
      </c>
      <c r="C949" s="32" t="s">
        <v>154</v>
      </c>
      <c r="D949" s="32">
        <v>20.51</v>
      </c>
      <c r="E949" s="32">
        <v>44.99</v>
      </c>
      <c r="F949" s="32" t="s">
        <v>173</v>
      </c>
      <c r="G949" s="32">
        <v>5.8304479999999996</v>
      </c>
      <c r="H949" s="32">
        <v>0.160688</v>
      </c>
      <c r="I949" s="32" t="s">
        <v>174</v>
      </c>
      <c r="J949" s="32">
        <v>2</v>
      </c>
      <c r="K949" s="32" t="s">
        <v>183</v>
      </c>
      <c r="L949" s="18">
        <f t="shared" si="14"/>
        <v>999999999</v>
      </c>
    </row>
    <row r="950" spans="1:12" ht="15" customHeight="1" x14ac:dyDescent="0.25">
      <c r="A950" s="32" t="s">
        <v>182</v>
      </c>
      <c r="B950" s="32" t="s">
        <v>55</v>
      </c>
      <c r="C950" s="32" t="s">
        <v>154</v>
      </c>
      <c r="D950" s="32">
        <v>45</v>
      </c>
      <c r="E950" s="32">
        <v>70.989999999999995</v>
      </c>
      <c r="F950" s="32" t="s">
        <v>173</v>
      </c>
      <c r="G950" s="32">
        <v>11.14424</v>
      </c>
      <c r="H950" s="32">
        <v>0.14091200000000001</v>
      </c>
      <c r="I950" s="32" t="s">
        <v>174</v>
      </c>
      <c r="J950" s="32">
        <v>2</v>
      </c>
      <c r="K950" s="32" t="s">
        <v>183</v>
      </c>
      <c r="L950" s="18">
        <f t="shared" si="14"/>
        <v>999999999</v>
      </c>
    </row>
    <row r="951" spans="1:12" ht="15" customHeight="1" x14ac:dyDescent="0.25">
      <c r="A951" s="32" t="s">
        <v>182</v>
      </c>
      <c r="B951" s="32" t="s">
        <v>55</v>
      </c>
      <c r="C951" s="32" t="s">
        <v>154</v>
      </c>
      <c r="D951" s="32">
        <v>71</v>
      </c>
      <c r="E951" s="32">
        <v>99.99</v>
      </c>
      <c r="F951" s="32" t="s">
        <v>173</v>
      </c>
      <c r="G951" s="32">
        <v>15.486459999999999</v>
      </c>
      <c r="H951" s="32">
        <v>0.13225999999999999</v>
      </c>
      <c r="I951" s="32" t="s">
        <v>174</v>
      </c>
      <c r="J951" s="32">
        <v>2</v>
      </c>
      <c r="K951" s="32" t="s">
        <v>183</v>
      </c>
      <c r="L951" s="18">
        <f t="shared" si="14"/>
        <v>999999999</v>
      </c>
    </row>
    <row r="952" spans="1:12" ht="15" customHeight="1" x14ac:dyDescent="0.25">
      <c r="A952" s="32" t="s">
        <v>182</v>
      </c>
      <c r="B952" s="32" t="s">
        <v>55</v>
      </c>
      <c r="C952" s="32" t="s">
        <v>154</v>
      </c>
      <c r="D952" s="32">
        <v>100</v>
      </c>
      <c r="E952" s="32">
        <v>299.99</v>
      </c>
      <c r="F952" s="32" t="s">
        <v>173</v>
      </c>
      <c r="G952" s="32">
        <v>19.709199999999999</v>
      </c>
      <c r="H952" s="32">
        <v>0.12402000000000001</v>
      </c>
      <c r="I952" s="32" t="s">
        <v>174</v>
      </c>
      <c r="J952" s="32">
        <v>2</v>
      </c>
      <c r="K952" s="32" t="s">
        <v>183</v>
      </c>
      <c r="L952" s="18">
        <f t="shared" si="14"/>
        <v>999999999</v>
      </c>
    </row>
    <row r="953" spans="1:12" ht="15" customHeight="1" x14ac:dyDescent="0.25">
      <c r="A953" s="32" t="s">
        <v>182</v>
      </c>
      <c r="B953" s="32" t="s">
        <v>55</v>
      </c>
      <c r="C953" s="32" t="s">
        <v>154</v>
      </c>
      <c r="D953" s="32">
        <v>300</v>
      </c>
      <c r="E953" s="32">
        <v>499.99</v>
      </c>
      <c r="F953" s="32" t="s">
        <v>173</v>
      </c>
      <c r="G953" s="32">
        <v>59.0732</v>
      </c>
      <c r="H953" s="32">
        <v>0.12402000000000001</v>
      </c>
      <c r="I953" s="32" t="s">
        <v>174</v>
      </c>
      <c r="J953" s="32">
        <v>2</v>
      </c>
      <c r="K953" s="32" t="s">
        <v>183</v>
      </c>
      <c r="L953" s="18">
        <f t="shared" si="14"/>
        <v>999999999</v>
      </c>
    </row>
    <row r="954" spans="1:12" ht="15" customHeight="1" x14ac:dyDescent="0.25">
      <c r="A954" s="32" t="s">
        <v>182</v>
      </c>
      <c r="B954" s="32" t="s">
        <v>55</v>
      </c>
      <c r="C954" s="32" t="s">
        <v>154</v>
      </c>
      <c r="D954" s="32">
        <v>500</v>
      </c>
      <c r="E954" s="32">
        <v>999.99</v>
      </c>
      <c r="F954" s="32" t="s">
        <v>173</v>
      </c>
      <c r="G954" s="32">
        <v>97.437200000000004</v>
      </c>
      <c r="H954" s="32">
        <v>0.12402000000000001</v>
      </c>
      <c r="I954" s="32" t="s">
        <v>174</v>
      </c>
      <c r="J954" s="32">
        <v>2</v>
      </c>
      <c r="K954" s="32" t="s">
        <v>183</v>
      </c>
      <c r="L954" s="18">
        <f t="shared" si="14"/>
        <v>999999999</v>
      </c>
    </row>
    <row r="955" spans="1:12" ht="15" customHeight="1" x14ac:dyDescent="0.25">
      <c r="A955" s="32" t="s">
        <v>182</v>
      </c>
      <c r="B955" s="32" t="s">
        <v>55</v>
      </c>
      <c r="C955" s="32" t="s">
        <v>154</v>
      </c>
      <c r="D955" s="32">
        <v>1000</v>
      </c>
      <c r="E955" s="32">
        <v>9999.99</v>
      </c>
      <c r="F955" s="32" t="s">
        <v>173</v>
      </c>
      <c r="G955" s="32">
        <v>193.84719999999999</v>
      </c>
      <c r="H955" s="32">
        <v>0.12402000000000001</v>
      </c>
      <c r="I955" s="32" t="s">
        <v>174</v>
      </c>
      <c r="J955" s="32">
        <v>2</v>
      </c>
      <c r="K955" s="32" t="s">
        <v>183</v>
      </c>
      <c r="L955" s="18">
        <f t="shared" si="14"/>
        <v>999999999</v>
      </c>
    </row>
    <row r="956" spans="1:12" ht="15" customHeight="1" x14ac:dyDescent="0.25">
      <c r="A956" s="32" t="s">
        <v>187</v>
      </c>
      <c r="B956" s="32" t="s">
        <v>70</v>
      </c>
      <c r="C956" s="32" t="s">
        <v>154</v>
      </c>
      <c r="D956" s="32">
        <v>0</v>
      </c>
      <c r="E956" s="32">
        <v>5000</v>
      </c>
      <c r="F956" s="32" t="s">
        <v>173</v>
      </c>
      <c r="G956" s="32">
        <v>425.02719999999999</v>
      </c>
      <c r="H956" s="32">
        <v>128.02719999999999</v>
      </c>
      <c r="I956" s="32" t="s">
        <v>188</v>
      </c>
      <c r="J956" s="32">
        <v>2</v>
      </c>
      <c r="K956" s="32" t="s">
        <v>175</v>
      </c>
      <c r="L956" s="18">
        <f t="shared" si="14"/>
        <v>999999999</v>
      </c>
    </row>
    <row r="957" spans="1:12" ht="15" customHeight="1" x14ac:dyDescent="0.25">
      <c r="A957" s="32" t="s">
        <v>177</v>
      </c>
      <c r="B957" s="32" t="s">
        <v>70</v>
      </c>
      <c r="C957" s="32" t="s">
        <v>154</v>
      </c>
      <c r="D957" s="32">
        <v>250</v>
      </c>
      <c r="E957" s="32">
        <v>499.99</v>
      </c>
      <c r="F957" s="32" t="s">
        <v>173</v>
      </c>
      <c r="G957" s="32">
        <v>27.563199999999998</v>
      </c>
      <c r="H957" s="32">
        <v>0.34720000000000001</v>
      </c>
      <c r="I957" s="32" t="s">
        <v>174</v>
      </c>
      <c r="J957" s="32">
        <v>2</v>
      </c>
      <c r="K957" s="32" t="s">
        <v>175</v>
      </c>
      <c r="L957" s="18">
        <f t="shared" si="14"/>
        <v>999999999</v>
      </c>
    </row>
    <row r="958" spans="1:12" ht="15" customHeight="1" x14ac:dyDescent="0.25">
      <c r="A958" s="32" t="s">
        <v>177</v>
      </c>
      <c r="B958" s="32" t="s">
        <v>70</v>
      </c>
      <c r="C958" s="32" t="s">
        <v>154</v>
      </c>
      <c r="D958" s="32">
        <v>2000</v>
      </c>
      <c r="E958" s="32">
        <v>99999.99</v>
      </c>
      <c r="F958" s="32" t="s">
        <v>173</v>
      </c>
      <c r="G958" s="32">
        <v>27.563199999999998</v>
      </c>
      <c r="H958" s="32">
        <v>0.26919999999999999</v>
      </c>
      <c r="I958" s="32" t="s">
        <v>174</v>
      </c>
      <c r="J958" s="32">
        <v>2</v>
      </c>
      <c r="K958" s="32" t="s">
        <v>175</v>
      </c>
      <c r="L958" s="18">
        <f t="shared" si="14"/>
        <v>999999999</v>
      </c>
    </row>
    <row r="959" spans="1:12" ht="15" customHeight="1" x14ac:dyDescent="0.25">
      <c r="A959" s="32" t="s">
        <v>177</v>
      </c>
      <c r="B959" s="32" t="s">
        <v>70</v>
      </c>
      <c r="C959" s="32" t="s">
        <v>154</v>
      </c>
      <c r="D959" s="32">
        <v>0</v>
      </c>
      <c r="E959" s="32">
        <v>99.99</v>
      </c>
      <c r="F959" s="32" t="s">
        <v>173</v>
      </c>
      <c r="G959" s="32">
        <v>27.563199999999998</v>
      </c>
      <c r="H959" s="32">
        <v>0.34720000000000001</v>
      </c>
      <c r="I959" s="32" t="s">
        <v>174</v>
      </c>
      <c r="J959" s="32">
        <v>2</v>
      </c>
      <c r="K959" s="32" t="s">
        <v>175</v>
      </c>
      <c r="L959" s="18">
        <f t="shared" si="14"/>
        <v>999999999</v>
      </c>
    </row>
    <row r="960" spans="1:12" ht="15" customHeight="1" x14ac:dyDescent="0.25">
      <c r="A960" s="32" t="s">
        <v>177</v>
      </c>
      <c r="B960" s="32" t="s">
        <v>70</v>
      </c>
      <c r="C960" s="32" t="s">
        <v>154</v>
      </c>
      <c r="D960" s="32">
        <v>100</v>
      </c>
      <c r="E960" s="32">
        <v>249.99</v>
      </c>
      <c r="F960" s="32" t="s">
        <v>173</v>
      </c>
      <c r="G960" s="32">
        <v>27.563199999999998</v>
      </c>
      <c r="H960" s="32">
        <v>0.34720000000000001</v>
      </c>
      <c r="I960" s="32" t="s">
        <v>174</v>
      </c>
      <c r="J960" s="32">
        <v>2</v>
      </c>
      <c r="K960" s="32" t="s">
        <v>175</v>
      </c>
      <c r="L960" s="18">
        <f t="shared" si="14"/>
        <v>999999999</v>
      </c>
    </row>
    <row r="961" spans="1:12" ht="15" customHeight="1" x14ac:dyDescent="0.25">
      <c r="A961" s="32" t="s">
        <v>177</v>
      </c>
      <c r="B961" s="32" t="s">
        <v>70</v>
      </c>
      <c r="C961" s="32" t="s">
        <v>154</v>
      </c>
      <c r="D961" s="32">
        <v>500</v>
      </c>
      <c r="E961" s="32">
        <v>1999.99</v>
      </c>
      <c r="F961" s="32" t="s">
        <v>173</v>
      </c>
      <c r="G961" s="32">
        <v>27.563199999999998</v>
      </c>
      <c r="H961" s="32">
        <v>0.26919999999999999</v>
      </c>
      <c r="I961" s="32" t="s">
        <v>174</v>
      </c>
      <c r="J961" s="32">
        <v>2</v>
      </c>
      <c r="K961" s="32" t="s">
        <v>175</v>
      </c>
      <c r="L961" s="18">
        <f t="shared" si="14"/>
        <v>999999999</v>
      </c>
    </row>
    <row r="962" spans="1:12" ht="15" customHeight="1" x14ac:dyDescent="0.25">
      <c r="A962" s="32" t="s">
        <v>185</v>
      </c>
      <c r="B962" s="32" t="s">
        <v>62</v>
      </c>
      <c r="C962" s="32" t="s">
        <v>154</v>
      </c>
      <c r="D962" s="32">
        <v>2000</v>
      </c>
      <c r="E962" s="32">
        <v>99999.99</v>
      </c>
      <c r="F962" s="32" t="s">
        <v>173</v>
      </c>
      <c r="G962" s="32">
        <v>25.467199999999998</v>
      </c>
      <c r="H962" s="32">
        <v>0.28839999999999999</v>
      </c>
      <c r="I962" s="32" t="s">
        <v>174</v>
      </c>
      <c r="J962" s="32">
        <v>1</v>
      </c>
      <c r="K962" s="32" t="s">
        <v>175</v>
      </c>
      <c r="L962" s="18">
        <f t="shared" ref="L962:L1025" si="15">IF(AND(B962=Quote_Port,D962&lt;=Quote_Weight,Quote_Weight&lt;=E962,OR(Quote_2Day="No",J962&lt;=2)),MAX(G962,Quote_Weight*H962)*Quote_USDINR,999999999)</f>
        <v>999999999</v>
      </c>
    </row>
    <row r="963" spans="1:12" ht="15" customHeight="1" x14ac:dyDescent="0.25">
      <c r="A963" s="32" t="s">
        <v>185</v>
      </c>
      <c r="B963" s="32" t="s">
        <v>62</v>
      </c>
      <c r="C963" s="32" t="s">
        <v>154</v>
      </c>
      <c r="D963" s="32">
        <v>100</v>
      </c>
      <c r="E963" s="32">
        <v>249.99</v>
      </c>
      <c r="F963" s="32" t="s">
        <v>173</v>
      </c>
      <c r="G963" s="32">
        <v>25.467199999999998</v>
      </c>
      <c r="H963" s="32">
        <v>0.28839999999999999</v>
      </c>
      <c r="I963" s="32" t="s">
        <v>174</v>
      </c>
      <c r="J963" s="32">
        <v>1</v>
      </c>
      <c r="K963" s="32" t="s">
        <v>175</v>
      </c>
      <c r="L963" s="18">
        <f t="shared" si="15"/>
        <v>999999999</v>
      </c>
    </row>
    <row r="964" spans="1:12" ht="15" customHeight="1" x14ac:dyDescent="0.25">
      <c r="A964" s="32" t="s">
        <v>185</v>
      </c>
      <c r="B964" s="32" t="s">
        <v>62</v>
      </c>
      <c r="C964" s="32" t="s">
        <v>154</v>
      </c>
      <c r="D964" s="32">
        <v>250</v>
      </c>
      <c r="E964" s="32">
        <v>499.99</v>
      </c>
      <c r="F964" s="32" t="s">
        <v>173</v>
      </c>
      <c r="G964" s="32">
        <v>25.467199999999998</v>
      </c>
      <c r="H964" s="32">
        <v>0.28839999999999999</v>
      </c>
      <c r="I964" s="32" t="s">
        <v>174</v>
      </c>
      <c r="J964" s="32">
        <v>1</v>
      </c>
      <c r="K964" s="32" t="s">
        <v>175</v>
      </c>
      <c r="L964" s="18">
        <f t="shared" si="15"/>
        <v>999999999</v>
      </c>
    </row>
    <row r="965" spans="1:12" ht="15" customHeight="1" x14ac:dyDescent="0.25">
      <c r="A965" s="32" t="s">
        <v>185</v>
      </c>
      <c r="B965" s="32" t="s">
        <v>62</v>
      </c>
      <c r="C965" s="32" t="s">
        <v>154</v>
      </c>
      <c r="D965" s="32">
        <v>500</v>
      </c>
      <c r="E965" s="32">
        <v>1999.99</v>
      </c>
      <c r="F965" s="32" t="s">
        <v>173</v>
      </c>
      <c r="G965" s="32">
        <v>25.467199999999998</v>
      </c>
      <c r="H965" s="32">
        <v>0.28839999999999999</v>
      </c>
      <c r="I965" s="32" t="s">
        <v>174</v>
      </c>
      <c r="J965" s="32">
        <v>1</v>
      </c>
      <c r="K965" s="32" t="s">
        <v>175</v>
      </c>
      <c r="L965" s="18">
        <f t="shared" si="15"/>
        <v>999999999</v>
      </c>
    </row>
    <row r="966" spans="1:12" ht="15" customHeight="1" x14ac:dyDescent="0.25">
      <c r="A966" s="32" t="s">
        <v>185</v>
      </c>
      <c r="B966" s="32" t="s">
        <v>62</v>
      </c>
      <c r="C966" s="32" t="s">
        <v>154</v>
      </c>
      <c r="D966" s="32">
        <v>0</v>
      </c>
      <c r="E966" s="32">
        <v>99.99</v>
      </c>
      <c r="F966" s="32" t="s">
        <v>173</v>
      </c>
      <c r="G966" s="32">
        <v>25.467199999999998</v>
      </c>
      <c r="H966" s="32">
        <v>0.31040000000000001</v>
      </c>
      <c r="I966" s="32" t="s">
        <v>174</v>
      </c>
      <c r="J966" s="32">
        <v>1</v>
      </c>
      <c r="K966" s="32" t="s">
        <v>175</v>
      </c>
      <c r="L966" s="18">
        <f t="shared" si="15"/>
        <v>999999999</v>
      </c>
    </row>
    <row r="967" spans="1:12" ht="15" customHeight="1" x14ac:dyDescent="0.25">
      <c r="A967" s="32" t="s">
        <v>185</v>
      </c>
      <c r="B967" s="32" t="s">
        <v>62</v>
      </c>
      <c r="C967" s="32" t="s">
        <v>154</v>
      </c>
      <c r="D967" s="32">
        <v>2000</v>
      </c>
      <c r="E967" s="32">
        <v>99999.99</v>
      </c>
      <c r="F967" s="32" t="s">
        <v>181</v>
      </c>
      <c r="G967" s="32">
        <v>19.667200000000001</v>
      </c>
      <c r="H967" s="32">
        <v>0.27560000000000001</v>
      </c>
      <c r="I967" s="32" t="s">
        <v>174</v>
      </c>
      <c r="J967" s="32">
        <v>1</v>
      </c>
      <c r="K967" s="32" t="s">
        <v>175</v>
      </c>
      <c r="L967" s="18">
        <f t="shared" si="15"/>
        <v>999999999</v>
      </c>
    </row>
    <row r="968" spans="1:12" ht="15" customHeight="1" x14ac:dyDescent="0.25">
      <c r="A968" s="32" t="s">
        <v>185</v>
      </c>
      <c r="B968" s="32" t="s">
        <v>62</v>
      </c>
      <c r="C968" s="32" t="s">
        <v>154</v>
      </c>
      <c r="D968" s="32">
        <v>250</v>
      </c>
      <c r="E968" s="32">
        <v>499.99</v>
      </c>
      <c r="F968" s="32" t="s">
        <v>181</v>
      </c>
      <c r="G968" s="32">
        <v>19.667200000000001</v>
      </c>
      <c r="H968" s="32">
        <v>0.27560000000000001</v>
      </c>
      <c r="I968" s="32" t="s">
        <v>174</v>
      </c>
      <c r="J968" s="32">
        <v>1</v>
      </c>
      <c r="K968" s="32" t="s">
        <v>175</v>
      </c>
      <c r="L968" s="18">
        <f t="shared" si="15"/>
        <v>999999999</v>
      </c>
    </row>
    <row r="969" spans="1:12" ht="15" customHeight="1" x14ac:dyDescent="0.25">
      <c r="A969" s="32" t="s">
        <v>185</v>
      </c>
      <c r="B969" s="32" t="s">
        <v>62</v>
      </c>
      <c r="C969" s="32" t="s">
        <v>154</v>
      </c>
      <c r="D969" s="32">
        <v>500</v>
      </c>
      <c r="E969" s="32">
        <v>1999.99</v>
      </c>
      <c r="F969" s="32" t="s">
        <v>181</v>
      </c>
      <c r="G969" s="32">
        <v>19.667200000000001</v>
      </c>
      <c r="H969" s="32">
        <v>0.27560000000000001</v>
      </c>
      <c r="I969" s="32" t="s">
        <v>174</v>
      </c>
      <c r="J969" s="32">
        <v>1</v>
      </c>
      <c r="K969" s="32" t="s">
        <v>175</v>
      </c>
      <c r="L969" s="18">
        <f t="shared" si="15"/>
        <v>999999999</v>
      </c>
    </row>
    <row r="970" spans="1:12" ht="15" customHeight="1" x14ac:dyDescent="0.25">
      <c r="A970" s="32" t="s">
        <v>185</v>
      </c>
      <c r="B970" s="32" t="s">
        <v>62</v>
      </c>
      <c r="C970" s="32" t="s">
        <v>154</v>
      </c>
      <c r="D970" s="32">
        <v>0</v>
      </c>
      <c r="E970" s="32">
        <v>99.99</v>
      </c>
      <c r="F970" s="32" t="s">
        <v>181</v>
      </c>
      <c r="G970" s="32">
        <v>19.667200000000001</v>
      </c>
      <c r="H970" s="32">
        <v>0.29759999999999998</v>
      </c>
      <c r="I970" s="32" t="s">
        <v>174</v>
      </c>
      <c r="J970" s="32">
        <v>1</v>
      </c>
      <c r="K970" s="32" t="s">
        <v>175</v>
      </c>
      <c r="L970" s="18">
        <f t="shared" si="15"/>
        <v>999999999</v>
      </c>
    </row>
    <row r="971" spans="1:12" ht="15" customHeight="1" x14ac:dyDescent="0.25">
      <c r="A971" s="32" t="s">
        <v>185</v>
      </c>
      <c r="B971" s="32" t="s">
        <v>62</v>
      </c>
      <c r="C971" s="32" t="s">
        <v>154</v>
      </c>
      <c r="D971" s="32">
        <v>100</v>
      </c>
      <c r="E971" s="32">
        <v>249.99</v>
      </c>
      <c r="F971" s="32" t="s">
        <v>181</v>
      </c>
      <c r="G971" s="32">
        <v>19.667200000000001</v>
      </c>
      <c r="H971" s="32">
        <v>0.27560000000000001</v>
      </c>
      <c r="I971" s="32" t="s">
        <v>174</v>
      </c>
      <c r="J971" s="32">
        <v>1</v>
      </c>
      <c r="K971" s="32" t="s">
        <v>175</v>
      </c>
      <c r="L971" s="18">
        <f t="shared" si="15"/>
        <v>999999999</v>
      </c>
    </row>
    <row r="972" spans="1:12" ht="15" customHeight="1" x14ac:dyDescent="0.25">
      <c r="A972" s="32" t="s">
        <v>185</v>
      </c>
      <c r="B972" s="32" t="s">
        <v>154</v>
      </c>
      <c r="C972" s="32" t="s">
        <v>154</v>
      </c>
      <c r="D972" s="32">
        <v>0</v>
      </c>
      <c r="E972" s="32">
        <v>5000</v>
      </c>
      <c r="F972" s="32" t="s">
        <v>173</v>
      </c>
      <c r="G972" s="32">
        <v>31.278400000000001</v>
      </c>
      <c r="H972" s="32">
        <v>21.278400000000001</v>
      </c>
      <c r="I972" s="32" t="s">
        <v>188</v>
      </c>
      <c r="J972" s="32">
        <v>1</v>
      </c>
      <c r="K972" s="32" t="s">
        <v>175</v>
      </c>
      <c r="L972" s="18">
        <f t="shared" si="15"/>
        <v>999999999</v>
      </c>
    </row>
    <row r="973" spans="1:12" ht="15" customHeight="1" x14ac:dyDescent="0.25">
      <c r="A973" s="32" t="s">
        <v>186</v>
      </c>
      <c r="B973" s="32" t="s">
        <v>59</v>
      </c>
      <c r="C973" s="32" t="s">
        <v>154</v>
      </c>
      <c r="D973" s="32">
        <v>0</v>
      </c>
      <c r="E973" s="32">
        <v>0.5</v>
      </c>
      <c r="F973" s="32" t="s">
        <v>173</v>
      </c>
      <c r="G973" s="32">
        <v>1.3959999999999999</v>
      </c>
      <c r="H973" s="32">
        <v>0.39600000000000002</v>
      </c>
      <c r="I973" s="32" t="s">
        <v>174</v>
      </c>
      <c r="J973" s="32">
        <v>1</v>
      </c>
      <c r="K973" s="32" t="s">
        <v>183</v>
      </c>
      <c r="L973" s="18">
        <f t="shared" si="15"/>
        <v>999999999</v>
      </c>
    </row>
    <row r="974" spans="1:12" ht="15" customHeight="1" x14ac:dyDescent="0.25">
      <c r="A974" s="32" t="s">
        <v>186</v>
      </c>
      <c r="B974" s="32" t="s">
        <v>59</v>
      </c>
      <c r="C974" s="32" t="s">
        <v>154</v>
      </c>
      <c r="D974" s="32">
        <v>0.51</v>
      </c>
      <c r="E974" s="32">
        <v>1</v>
      </c>
      <c r="F974" s="32" t="s">
        <v>173</v>
      </c>
      <c r="G974" s="32">
        <v>1.4448000000000001</v>
      </c>
      <c r="H974" s="32">
        <v>0.44479999999999997</v>
      </c>
      <c r="I974" s="32" t="s">
        <v>174</v>
      </c>
      <c r="J974" s="32">
        <v>1</v>
      </c>
      <c r="K974" s="32" t="s">
        <v>183</v>
      </c>
      <c r="L974" s="18">
        <f t="shared" si="15"/>
        <v>999999999</v>
      </c>
    </row>
    <row r="975" spans="1:12" ht="15" customHeight="1" x14ac:dyDescent="0.25">
      <c r="A975" s="32" t="s">
        <v>186</v>
      </c>
      <c r="B975" s="32" t="s">
        <v>59</v>
      </c>
      <c r="C975" s="32" t="s">
        <v>154</v>
      </c>
      <c r="D975" s="32">
        <v>1.01</v>
      </c>
      <c r="E975" s="32">
        <v>1.5</v>
      </c>
      <c r="F975" s="32" t="s">
        <v>173</v>
      </c>
      <c r="G975" s="32">
        <v>1.4927999999999999</v>
      </c>
      <c r="H975" s="32">
        <v>0.49280000000000002</v>
      </c>
      <c r="I975" s="32" t="s">
        <v>174</v>
      </c>
      <c r="J975" s="32">
        <v>1</v>
      </c>
      <c r="K975" s="32" t="s">
        <v>183</v>
      </c>
      <c r="L975" s="18">
        <f t="shared" si="15"/>
        <v>999999999</v>
      </c>
    </row>
    <row r="976" spans="1:12" ht="15" customHeight="1" x14ac:dyDescent="0.25">
      <c r="A976" s="32" t="s">
        <v>186</v>
      </c>
      <c r="B976" s="32" t="s">
        <v>59</v>
      </c>
      <c r="C976" s="32" t="s">
        <v>154</v>
      </c>
      <c r="D976" s="32">
        <v>1.51</v>
      </c>
      <c r="E976" s="32">
        <v>2</v>
      </c>
      <c r="F976" s="32" t="s">
        <v>173</v>
      </c>
      <c r="G976" s="32">
        <v>1.5416000000000001</v>
      </c>
      <c r="H976" s="32">
        <v>0.54159999999999997</v>
      </c>
      <c r="I976" s="32" t="s">
        <v>174</v>
      </c>
      <c r="J976" s="32">
        <v>1</v>
      </c>
      <c r="K976" s="32" t="s">
        <v>183</v>
      </c>
      <c r="L976" s="18">
        <f t="shared" si="15"/>
        <v>999999999</v>
      </c>
    </row>
    <row r="977" spans="1:12" ht="15" customHeight="1" x14ac:dyDescent="0.25">
      <c r="A977" s="32" t="s">
        <v>186</v>
      </c>
      <c r="B977" s="32" t="s">
        <v>59</v>
      </c>
      <c r="C977" s="32" t="s">
        <v>154</v>
      </c>
      <c r="D977" s="32">
        <v>2.0099999999999998</v>
      </c>
      <c r="E977" s="32">
        <v>2.5</v>
      </c>
      <c r="F977" s="32" t="s">
        <v>173</v>
      </c>
      <c r="G977" s="32">
        <v>1.59</v>
      </c>
      <c r="H977" s="32">
        <v>0.59</v>
      </c>
      <c r="I977" s="32" t="s">
        <v>174</v>
      </c>
      <c r="J977" s="32">
        <v>1</v>
      </c>
      <c r="K977" s="32" t="s">
        <v>183</v>
      </c>
      <c r="L977" s="18">
        <f t="shared" si="15"/>
        <v>999999999</v>
      </c>
    </row>
    <row r="978" spans="1:12" ht="15" customHeight="1" x14ac:dyDescent="0.25">
      <c r="A978" s="32" t="s">
        <v>186</v>
      </c>
      <c r="B978" s="32" t="s">
        <v>59</v>
      </c>
      <c r="C978" s="32" t="s">
        <v>154</v>
      </c>
      <c r="D978" s="32">
        <v>2.5099999999999998</v>
      </c>
      <c r="E978" s="32">
        <v>3</v>
      </c>
      <c r="F978" s="32" t="s">
        <v>173</v>
      </c>
      <c r="G978" s="32">
        <v>1.6384000000000001</v>
      </c>
      <c r="H978" s="32">
        <v>0.63839999999999997</v>
      </c>
      <c r="I978" s="32" t="s">
        <v>174</v>
      </c>
      <c r="J978" s="32">
        <v>1</v>
      </c>
      <c r="K978" s="32" t="s">
        <v>183</v>
      </c>
      <c r="L978" s="18">
        <f t="shared" si="15"/>
        <v>999999999</v>
      </c>
    </row>
    <row r="979" spans="1:12" ht="15" customHeight="1" x14ac:dyDescent="0.25">
      <c r="A979" s="32" t="s">
        <v>186</v>
      </c>
      <c r="B979" s="32" t="s">
        <v>59</v>
      </c>
      <c r="C979" s="32" t="s">
        <v>154</v>
      </c>
      <c r="D979" s="32">
        <v>3.01</v>
      </c>
      <c r="E979" s="32">
        <v>3.5</v>
      </c>
      <c r="F979" s="32" t="s">
        <v>173</v>
      </c>
      <c r="G979" s="32">
        <v>1.6872</v>
      </c>
      <c r="H979" s="32">
        <v>0.68720000000000003</v>
      </c>
      <c r="I979" s="32" t="s">
        <v>174</v>
      </c>
      <c r="J979" s="32">
        <v>1</v>
      </c>
      <c r="K979" s="32" t="s">
        <v>183</v>
      </c>
      <c r="L979" s="18">
        <f t="shared" si="15"/>
        <v>999999999</v>
      </c>
    </row>
    <row r="980" spans="1:12" ht="15" customHeight="1" x14ac:dyDescent="0.25">
      <c r="A980" s="32" t="s">
        <v>186</v>
      </c>
      <c r="B980" s="32" t="s">
        <v>59</v>
      </c>
      <c r="C980" s="32" t="s">
        <v>154</v>
      </c>
      <c r="D980" s="32">
        <v>3.51</v>
      </c>
      <c r="E980" s="32">
        <v>4</v>
      </c>
      <c r="F980" s="32" t="s">
        <v>173</v>
      </c>
      <c r="G980" s="32">
        <v>1.7356</v>
      </c>
      <c r="H980" s="32">
        <v>0.73560000000000003</v>
      </c>
      <c r="I980" s="32" t="s">
        <v>174</v>
      </c>
      <c r="J980" s="32">
        <v>1</v>
      </c>
      <c r="K980" s="32" t="s">
        <v>183</v>
      </c>
      <c r="L980" s="18">
        <f t="shared" si="15"/>
        <v>999999999</v>
      </c>
    </row>
    <row r="981" spans="1:12" ht="15" customHeight="1" x14ac:dyDescent="0.25">
      <c r="A981" s="32" t="s">
        <v>186</v>
      </c>
      <c r="B981" s="32" t="s">
        <v>59</v>
      </c>
      <c r="C981" s="32" t="s">
        <v>154</v>
      </c>
      <c r="D981" s="32">
        <v>4.01</v>
      </c>
      <c r="E981" s="32">
        <v>4.5</v>
      </c>
      <c r="F981" s="32" t="s">
        <v>173</v>
      </c>
      <c r="G981" s="32">
        <v>1.784</v>
      </c>
      <c r="H981" s="32">
        <v>0.78400000000000003</v>
      </c>
      <c r="I981" s="32" t="s">
        <v>174</v>
      </c>
      <c r="J981" s="32">
        <v>1</v>
      </c>
      <c r="K981" s="32" t="s">
        <v>183</v>
      </c>
      <c r="L981" s="18">
        <f t="shared" si="15"/>
        <v>999999999</v>
      </c>
    </row>
    <row r="982" spans="1:12" ht="15" customHeight="1" x14ac:dyDescent="0.25">
      <c r="A982" s="32" t="s">
        <v>186</v>
      </c>
      <c r="B982" s="32" t="s">
        <v>59</v>
      </c>
      <c r="C982" s="32" t="s">
        <v>154</v>
      </c>
      <c r="D982" s="32">
        <v>4.51</v>
      </c>
      <c r="E982" s="32">
        <v>5</v>
      </c>
      <c r="F982" s="32" t="s">
        <v>173</v>
      </c>
      <c r="G982" s="32">
        <v>1.8320000000000001</v>
      </c>
      <c r="H982" s="32">
        <v>0.83199999999999996</v>
      </c>
      <c r="I982" s="32" t="s">
        <v>174</v>
      </c>
      <c r="J982" s="32">
        <v>1</v>
      </c>
      <c r="K982" s="32" t="s">
        <v>183</v>
      </c>
      <c r="L982" s="18">
        <f t="shared" si="15"/>
        <v>999999999</v>
      </c>
    </row>
    <row r="983" spans="1:12" ht="15" customHeight="1" x14ac:dyDescent="0.25">
      <c r="A983" s="32" t="s">
        <v>186</v>
      </c>
      <c r="B983" s="32" t="s">
        <v>59</v>
      </c>
      <c r="C983" s="32" t="s">
        <v>154</v>
      </c>
      <c r="D983" s="32">
        <v>5.01</v>
      </c>
      <c r="E983" s="32">
        <v>5.5</v>
      </c>
      <c r="F983" s="32" t="s">
        <v>173</v>
      </c>
      <c r="G983" s="32">
        <v>1.8475999999999999</v>
      </c>
      <c r="H983" s="32">
        <v>0.84760000000000002</v>
      </c>
      <c r="I983" s="32" t="s">
        <v>174</v>
      </c>
      <c r="J983" s="32">
        <v>1</v>
      </c>
      <c r="K983" s="32" t="s">
        <v>183</v>
      </c>
      <c r="L983" s="18">
        <f t="shared" si="15"/>
        <v>999999999</v>
      </c>
    </row>
    <row r="984" spans="1:12" ht="15" customHeight="1" x14ac:dyDescent="0.25">
      <c r="A984" s="32" t="s">
        <v>186</v>
      </c>
      <c r="B984" s="32" t="s">
        <v>59</v>
      </c>
      <c r="C984" s="32" t="s">
        <v>154</v>
      </c>
      <c r="D984" s="32">
        <v>5.51</v>
      </c>
      <c r="E984" s="32">
        <v>6</v>
      </c>
      <c r="F984" s="32" t="s">
        <v>173</v>
      </c>
      <c r="G984" s="32">
        <v>1.8632</v>
      </c>
      <c r="H984" s="32">
        <v>0.86319999999999997</v>
      </c>
      <c r="I984" s="32" t="s">
        <v>174</v>
      </c>
      <c r="J984" s="32">
        <v>1</v>
      </c>
      <c r="K984" s="32" t="s">
        <v>183</v>
      </c>
      <c r="L984" s="18">
        <f t="shared" si="15"/>
        <v>999999999</v>
      </c>
    </row>
    <row r="985" spans="1:12" ht="15" customHeight="1" x14ac:dyDescent="0.25">
      <c r="A985" s="32" t="s">
        <v>186</v>
      </c>
      <c r="B985" s="32" t="s">
        <v>59</v>
      </c>
      <c r="C985" s="32" t="s">
        <v>154</v>
      </c>
      <c r="D985" s="32">
        <v>6.01</v>
      </c>
      <c r="E985" s="32">
        <v>6.5</v>
      </c>
      <c r="F985" s="32" t="s">
        <v>173</v>
      </c>
      <c r="G985" s="32">
        <v>1.8788</v>
      </c>
      <c r="H985" s="32">
        <v>0.87880000000000003</v>
      </c>
      <c r="I985" s="32" t="s">
        <v>174</v>
      </c>
      <c r="J985" s="32">
        <v>1</v>
      </c>
      <c r="K985" s="32" t="s">
        <v>183</v>
      </c>
      <c r="L985" s="18">
        <f t="shared" si="15"/>
        <v>999999999</v>
      </c>
    </row>
    <row r="986" spans="1:12" ht="15" customHeight="1" x14ac:dyDescent="0.25">
      <c r="A986" s="32" t="s">
        <v>186</v>
      </c>
      <c r="B986" s="32" t="s">
        <v>59</v>
      </c>
      <c r="C986" s="32" t="s">
        <v>154</v>
      </c>
      <c r="D986" s="32">
        <v>6.51</v>
      </c>
      <c r="E986" s="32">
        <v>7</v>
      </c>
      <c r="F986" s="32" t="s">
        <v>173</v>
      </c>
      <c r="G986" s="32">
        <v>1.8944000000000001</v>
      </c>
      <c r="H986" s="32">
        <v>0.89439999999999997</v>
      </c>
      <c r="I986" s="32" t="s">
        <v>174</v>
      </c>
      <c r="J986" s="32">
        <v>1</v>
      </c>
      <c r="K986" s="32" t="s">
        <v>183</v>
      </c>
      <c r="L986" s="18">
        <f t="shared" si="15"/>
        <v>999999999</v>
      </c>
    </row>
    <row r="987" spans="1:12" ht="15" customHeight="1" x14ac:dyDescent="0.25">
      <c r="A987" s="32" t="s">
        <v>186</v>
      </c>
      <c r="B987" s="32" t="s">
        <v>59</v>
      </c>
      <c r="C987" s="32" t="s">
        <v>154</v>
      </c>
      <c r="D987" s="32">
        <v>7.01</v>
      </c>
      <c r="E987" s="32">
        <v>7.5</v>
      </c>
      <c r="F987" s="32" t="s">
        <v>173</v>
      </c>
      <c r="G987" s="32">
        <v>1.91</v>
      </c>
      <c r="H987" s="32">
        <v>0.91</v>
      </c>
      <c r="I987" s="32" t="s">
        <v>174</v>
      </c>
      <c r="J987" s="32">
        <v>1</v>
      </c>
      <c r="K987" s="32" t="s">
        <v>183</v>
      </c>
      <c r="L987" s="18">
        <f t="shared" si="15"/>
        <v>999999999</v>
      </c>
    </row>
    <row r="988" spans="1:12" ht="15" customHeight="1" x14ac:dyDescent="0.25">
      <c r="A988" s="32" t="s">
        <v>186</v>
      </c>
      <c r="B988" s="32" t="s">
        <v>59</v>
      </c>
      <c r="C988" s="32" t="s">
        <v>154</v>
      </c>
      <c r="D988" s="32">
        <v>7.51</v>
      </c>
      <c r="E988" s="32">
        <v>8</v>
      </c>
      <c r="F988" s="32" t="s">
        <v>173</v>
      </c>
      <c r="G988" s="32">
        <v>1.9256</v>
      </c>
      <c r="H988" s="32">
        <v>0.92559999999999998</v>
      </c>
      <c r="I988" s="32" t="s">
        <v>174</v>
      </c>
      <c r="J988" s="32">
        <v>1</v>
      </c>
      <c r="K988" s="32" t="s">
        <v>183</v>
      </c>
      <c r="L988" s="18">
        <f t="shared" si="15"/>
        <v>999999999</v>
      </c>
    </row>
    <row r="989" spans="1:12" ht="15" customHeight="1" x14ac:dyDescent="0.25">
      <c r="A989" s="32" t="s">
        <v>186</v>
      </c>
      <c r="B989" s="32" t="s">
        <v>59</v>
      </c>
      <c r="C989" s="32" t="s">
        <v>154</v>
      </c>
      <c r="D989" s="32">
        <v>8.01</v>
      </c>
      <c r="E989" s="32">
        <v>8.5</v>
      </c>
      <c r="F989" s="32" t="s">
        <v>173</v>
      </c>
      <c r="G989" s="32">
        <v>1.9412</v>
      </c>
      <c r="H989" s="32">
        <v>0.94120000000000004</v>
      </c>
      <c r="I989" s="32" t="s">
        <v>174</v>
      </c>
      <c r="J989" s="32">
        <v>1</v>
      </c>
      <c r="K989" s="32" t="s">
        <v>183</v>
      </c>
      <c r="L989" s="18">
        <f t="shared" si="15"/>
        <v>999999999</v>
      </c>
    </row>
    <row r="990" spans="1:12" ht="15" customHeight="1" x14ac:dyDescent="0.25">
      <c r="A990" s="32" t="s">
        <v>186</v>
      </c>
      <c r="B990" s="32" t="s">
        <v>59</v>
      </c>
      <c r="C990" s="32" t="s">
        <v>154</v>
      </c>
      <c r="D990" s="32">
        <v>8.51</v>
      </c>
      <c r="E990" s="32">
        <v>9</v>
      </c>
      <c r="F990" s="32" t="s">
        <v>173</v>
      </c>
      <c r="G990" s="32">
        <v>1.9568000000000001</v>
      </c>
      <c r="H990" s="32">
        <v>0.95679999999999998</v>
      </c>
      <c r="I990" s="32" t="s">
        <v>174</v>
      </c>
      <c r="J990" s="32">
        <v>1</v>
      </c>
      <c r="K990" s="32" t="s">
        <v>183</v>
      </c>
      <c r="L990" s="18">
        <f t="shared" si="15"/>
        <v>999999999</v>
      </c>
    </row>
    <row r="991" spans="1:12" ht="15" customHeight="1" x14ac:dyDescent="0.25">
      <c r="A991" s="32" t="s">
        <v>186</v>
      </c>
      <c r="B991" s="32" t="s">
        <v>59</v>
      </c>
      <c r="C991" s="32" t="s">
        <v>154</v>
      </c>
      <c r="D991" s="32">
        <v>9.01</v>
      </c>
      <c r="E991" s="32">
        <v>9.5</v>
      </c>
      <c r="F991" s="32" t="s">
        <v>173</v>
      </c>
      <c r="G991" s="32">
        <v>1.9723999999999999</v>
      </c>
      <c r="H991" s="32">
        <v>0.97240000000000004</v>
      </c>
      <c r="I991" s="32" t="s">
        <v>174</v>
      </c>
      <c r="J991" s="32">
        <v>1</v>
      </c>
      <c r="K991" s="32" t="s">
        <v>183</v>
      </c>
      <c r="L991" s="18">
        <f t="shared" si="15"/>
        <v>999999999</v>
      </c>
    </row>
    <row r="992" spans="1:12" ht="15" customHeight="1" x14ac:dyDescent="0.25">
      <c r="A992" s="32" t="s">
        <v>186</v>
      </c>
      <c r="B992" s="32" t="s">
        <v>59</v>
      </c>
      <c r="C992" s="32" t="s">
        <v>154</v>
      </c>
      <c r="D992" s="32">
        <v>9.51</v>
      </c>
      <c r="E992" s="32">
        <v>10</v>
      </c>
      <c r="F992" s="32" t="s">
        <v>173</v>
      </c>
      <c r="G992" s="32">
        <v>1.988</v>
      </c>
      <c r="H992" s="32">
        <v>0.98799999999999999</v>
      </c>
      <c r="I992" s="32" t="s">
        <v>174</v>
      </c>
      <c r="J992" s="32">
        <v>1</v>
      </c>
      <c r="K992" s="32" t="s">
        <v>183</v>
      </c>
      <c r="L992" s="18">
        <f t="shared" si="15"/>
        <v>999999999</v>
      </c>
    </row>
    <row r="993" spans="1:12" ht="15" customHeight="1" x14ac:dyDescent="0.25">
      <c r="A993" s="32" t="s">
        <v>186</v>
      </c>
      <c r="B993" s="32" t="s">
        <v>59</v>
      </c>
      <c r="C993" s="32" t="s">
        <v>154</v>
      </c>
      <c r="D993" s="32">
        <v>10.01</v>
      </c>
      <c r="E993" s="32">
        <v>10.5</v>
      </c>
      <c r="F993" s="32" t="s">
        <v>173</v>
      </c>
      <c r="G993" s="32">
        <v>1.9947999999999999</v>
      </c>
      <c r="H993" s="32">
        <v>0.99480000000000002</v>
      </c>
      <c r="I993" s="32" t="s">
        <v>174</v>
      </c>
      <c r="J993" s="32">
        <v>1</v>
      </c>
      <c r="K993" s="32" t="s">
        <v>183</v>
      </c>
      <c r="L993" s="18">
        <f t="shared" si="15"/>
        <v>999999999</v>
      </c>
    </row>
    <row r="994" spans="1:12" ht="15" customHeight="1" x14ac:dyDescent="0.25">
      <c r="A994" s="32" t="s">
        <v>186</v>
      </c>
      <c r="B994" s="32" t="s">
        <v>59</v>
      </c>
      <c r="C994" s="32" t="s">
        <v>154</v>
      </c>
      <c r="D994" s="32">
        <v>10.51</v>
      </c>
      <c r="E994" s="32">
        <v>11</v>
      </c>
      <c r="F994" s="32" t="s">
        <v>173</v>
      </c>
      <c r="G994" s="32">
        <v>3.0015999999999998</v>
      </c>
      <c r="H994" s="32">
        <v>1.0016</v>
      </c>
      <c r="I994" s="32" t="s">
        <v>174</v>
      </c>
      <c r="J994" s="32">
        <v>1</v>
      </c>
      <c r="K994" s="32" t="s">
        <v>183</v>
      </c>
      <c r="L994" s="18">
        <f t="shared" si="15"/>
        <v>999999999</v>
      </c>
    </row>
    <row r="995" spans="1:12" ht="15" customHeight="1" x14ac:dyDescent="0.25">
      <c r="A995" s="32" t="s">
        <v>186</v>
      </c>
      <c r="B995" s="32" t="s">
        <v>59</v>
      </c>
      <c r="C995" s="32" t="s">
        <v>154</v>
      </c>
      <c r="D995" s="32">
        <v>11.01</v>
      </c>
      <c r="E995" s="32">
        <v>11.5</v>
      </c>
      <c r="F995" s="32" t="s">
        <v>173</v>
      </c>
      <c r="G995" s="32">
        <v>3.0084</v>
      </c>
      <c r="H995" s="32">
        <v>1.0084</v>
      </c>
      <c r="I995" s="32" t="s">
        <v>174</v>
      </c>
      <c r="J995" s="32">
        <v>1</v>
      </c>
      <c r="K995" s="32" t="s">
        <v>183</v>
      </c>
      <c r="L995" s="18">
        <f t="shared" si="15"/>
        <v>999999999</v>
      </c>
    </row>
    <row r="996" spans="1:12" ht="15" customHeight="1" x14ac:dyDescent="0.25">
      <c r="A996" s="32" t="s">
        <v>186</v>
      </c>
      <c r="B996" s="32" t="s">
        <v>59</v>
      </c>
      <c r="C996" s="32" t="s">
        <v>154</v>
      </c>
      <c r="D996" s="32">
        <v>11.51</v>
      </c>
      <c r="E996" s="32">
        <v>12</v>
      </c>
      <c r="F996" s="32" t="s">
        <v>173</v>
      </c>
      <c r="G996" s="32">
        <v>3.0152000000000001</v>
      </c>
      <c r="H996" s="32">
        <v>1.0152000000000001</v>
      </c>
      <c r="I996" s="32" t="s">
        <v>174</v>
      </c>
      <c r="J996" s="32">
        <v>1</v>
      </c>
      <c r="K996" s="32" t="s">
        <v>183</v>
      </c>
      <c r="L996" s="18">
        <f t="shared" si="15"/>
        <v>999999999</v>
      </c>
    </row>
    <row r="997" spans="1:12" ht="15" customHeight="1" x14ac:dyDescent="0.25">
      <c r="A997" s="32" t="s">
        <v>186</v>
      </c>
      <c r="B997" s="32" t="s">
        <v>59</v>
      </c>
      <c r="C997" s="32" t="s">
        <v>154</v>
      </c>
      <c r="D997" s="32">
        <v>12.01</v>
      </c>
      <c r="E997" s="32">
        <v>12.5</v>
      </c>
      <c r="F997" s="32" t="s">
        <v>173</v>
      </c>
      <c r="G997" s="32">
        <v>3.0219999999999998</v>
      </c>
      <c r="H997" s="32">
        <v>1.022</v>
      </c>
      <c r="I997" s="32" t="s">
        <v>174</v>
      </c>
      <c r="J997" s="32">
        <v>1</v>
      </c>
      <c r="K997" s="32" t="s">
        <v>183</v>
      </c>
      <c r="L997" s="18">
        <f t="shared" si="15"/>
        <v>999999999</v>
      </c>
    </row>
    <row r="998" spans="1:12" ht="15" customHeight="1" x14ac:dyDescent="0.25">
      <c r="A998" s="32" t="s">
        <v>186</v>
      </c>
      <c r="B998" s="32" t="s">
        <v>59</v>
      </c>
      <c r="C998" s="32" t="s">
        <v>154</v>
      </c>
      <c r="D998" s="32">
        <v>12.51</v>
      </c>
      <c r="E998" s="32">
        <v>13</v>
      </c>
      <c r="F998" s="32" t="s">
        <v>173</v>
      </c>
      <c r="G998" s="32">
        <v>3.0287999999999999</v>
      </c>
      <c r="H998" s="32">
        <v>1.0287999999999999</v>
      </c>
      <c r="I998" s="32" t="s">
        <v>174</v>
      </c>
      <c r="J998" s="32">
        <v>1</v>
      </c>
      <c r="K998" s="32" t="s">
        <v>183</v>
      </c>
      <c r="L998" s="18">
        <f t="shared" si="15"/>
        <v>999999999</v>
      </c>
    </row>
    <row r="999" spans="1:12" ht="15" customHeight="1" x14ac:dyDescent="0.25">
      <c r="A999" s="32" t="s">
        <v>186</v>
      </c>
      <c r="B999" s="32" t="s">
        <v>59</v>
      </c>
      <c r="C999" s="32" t="s">
        <v>154</v>
      </c>
      <c r="D999" s="32">
        <v>13.01</v>
      </c>
      <c r="E999" s="32">
        <v>13.5</v>
      </c>
      <c r="F999" s="32" t="s">
        <v>173</v>
      </c>
      <c r="G999" s="32">
        <v>3.0356000000000001</v>
      </c>
      <c r="H999" s="32">
        <v>1.0356000000000001</v>
      </c>
      <c r="I999" s="32" t="s">
        <v>174</v>
      </c>
      <c r="J999" s="32">
        <v>1</v>
      </c>
      <c r="K999" s="32" t="s">
        <v>183</v>
      </c>
      <c r="L999" s="18">
        <f t="shared" si="15"/>
        <v>999999999</v>
      </c>
    </row>
    <row r="1000" spans="1:12" ht="15" customHeight="1" x14ac:dyDescent="0.25">
      <c r="A1000" s="32" t="s">
        <v>186</v>
      </c>
      <c r="B1000" s="32" t="s">
        <v>59</v>
      </c>
      <c r="C1000" s="32" t="s">
        <v>154</v>
      </c>
      <c r="D1000" s="32">
        <v>13.51</v>
      </c>
      <c r="E1000" s="32">
        <v>14</v>
      </c>
      <c r="F1000" s="32" t="s">
        <v>173</v>
      </c>
      <c r="G1000" s="32">
        <v>3.0424000000000002</v>
      </c>
      <c r="H1000" s="32">
        <v>1.0424</v>
      </c>
      <c r="I1000" s="32" t="s">
        <v>174</v>
      </c>
      <c r="J1000" s="32">
        <v>1</v>
      </c>
      <c r="K1000" s="32" t="s">
        <v>183</v>
      </c>
      <c r="L1000" s="18">
        <f t="shared" si="15"/>
        <v>999999999</v>
      </c>
    </row>
    <row r="1001" spans="1:12" ht="15" customHeight="1" x14ac:dyDescent="0.25">
      <c r="A1001" s="32" t="s">
        <v>186</v>
      </c>
      <c r="B1001" s="32" t="s">
        <v>59</v>
      </c>
      <c r="C1001" s="32" t="s">
        <v>154</v>
      </c>
      <c r="D1001" s="32">
        <v>14.01</v>
      </c>
      <c r="E1001" s="32">
        <v>14.5</v>
      </c>
      <c r="F1001" s="32" t="s">
        <v>173</v>
      </c>
      <c r="G1001" s="32">
        <v>3.0491999999999999</v>
      </c>
      <c r="H1001" s="32">
        <v>1.0491999999999999</v>
      </c>
      <c r="I1001" s="32" t="s">
        <v>174</v>
      </c>
      <c r="J1001" s="32">
        <v>1</v>
      </c>
      <c r="K1001" s="32" t="s">
        <v>183</v>
      </c>
      <c r="L1001" s="18">
        <f t="shared" si="15"/>
        <v>999999999</v>
      </c>
    </row>
    <row r="1002" spans="1:12" ht="15" customHeight="1" x14ac:dyDescent="0.25">
      <c r="A1002" s="32" t="s">
        <v>186</v>
      </c>
      <c r="B1002" s="32" t="s">
        <v>59</v>
      </c>
      <c r="C1002" s="32" t="s">
        <v>154</v>
      </c>
      <c r="D1002" s="32">
        <v>14.51</v>
      </c>
      <c r="E1002" s="32">
        <v>15</v>
      </c>
      <c r="F1002" s="32" t="s">
        <v>173</v>
      </c>
      <c r="G1002" s="32">
        <v>3.056</v>
      </c>
      <c r="H1002" s="32">
        <v>1.056</v>
      </c>
      <c r="I1002" s="32" t="s">
        <v>174</v>
      </c>
      <c r="J1002" s="32">
        <v>1</v>
      </c>
      <c r="K1002" s="32" t="s">
        <v>183</v>
      </c>
      <c r="L1002" s="18">
        <f t="shared" si="15"/>
        <v>999999999</v>
      </c>
    </row>
    <row r="1003" spans="1:12" ht="15" customHeight="1" x14ac:dyDescent="0.25">
      <c r="A1003" s="32" t="s">
        <v>186</v>
      </c>
      <c r="B1003" s="32" t="s">
        <v>59</v>
      </c>
      <c r="C1003" s="32" t="s">
        <v>154</v>
      </c>
      <c r="D1003" s="32">
        <v>15.01</v>
      </c>
      <c r="E1003" s="32">
        <v>15.5</v>
      </c>
      <c r="F1003" s="32" t="s">
        <v>173</v>
      </c>
      <c r="G1003" s="32">
        <v>3.07</v>
      </c>
      <c r="H1003" s="32">
        <v>1.07</v>
      </c>
      <c r="I1003" s="32" t="s">
        <v>174</v>
      </c>
      <c r="J1003" s="32">
        <v>1</v>
      </c>
      <c r="K1003" s="32" t="s">
        <v>183</v>
      </c>
      <c r="L1003" s="18">
        <f t="shared" si="15"/>
        <v>999999999</v>
      </c>
    </row>
    <row r="1004" spans="1:12" ht="15" customHeight="1" x14ac:dyDescent="0.25">
      <c r="A1004" s="32" t="s">
        <v>186</v>
      </c>
      <c r="B1004" s="32" t="s">
        <v>59</v>
      </c>
      <c r="C1004" s="32" t="s">
        <v>154</v>
      </c>
      <c r="D1004" s="32">
        <v>15.51</v>
      </c>
      <c r="E1004" s="32">
        <v>16</v>
      </c>
      <c r="F1004" s="32" t="s">
        <v>173</v>
      </c>
      <c r="G1004" s="32">
        <v>3.0840000000000001</v>
      </c>
      <c r="H1004" s="32">
        <v>1.0840000000000001</v>
      </c>
      <c r="I1004" s="32" t="s">
        <v>174</v>
      </c>
      <c r="J1004" s="32">
        <v>1</v>
      </c>
      <c r="K1004" s="32" t="s">
        <v>183</v>
      </c>
      <c r="L1004" s="18">
        <f t="shared" si="15"/>
        <v>999999999</v>
      </c>
    </row>
    <row r="1005" spans="1:12" ht="15" customHeight="1" x14ac:dyDescent="0.25">
      <c r="A1005" s="32" t="s">
        <v>186</v>
      </c>
      <c r="B1005" s="32" t="s">
        <v>59</v>
      </c>
      <c r="C1005" s="32" t="s">
        <v>154</v>
      </c>
      <c r="D1005" s="32">
        <v>16.010000000000002</v>
      </c>
      <c r="E1005" s="32">
        <v>16.5</v>
      </c>
      <c r="F1005" s="32" t="s">
        <v>173</v>
      </c>
      <c r="G1005" s="32">
        <v>3.0979999999999999</v>
      </c>
      <c r="H1005" s="32">
        <v>1.0980000000000001</v>
      </c>
      <c r="I1005" s="32" t="s">
        <v>174</v>
      </c>
      <c r="J1005" s="32">
        <v>1</v>
      </c>
      <c r="K1005" s="32" t="s">
        <v>183</v>
      </c>
      <c r="L1005" s="18">
        <f t="shared" si="15"/>
        <v>999999999</v>
      </c>
    </row>
    <row r="1006" spans="1:12" ht="15" customHeight="1" x14ac:dyDescent="0.25">
      <c r="A1006" s="32" t="s">
        <v>186</v>
      </c>
      <c r="B1006" s="32" t="s">
        <v>59</v>
      </c>
      <c r="C1006" s="32" t="s">
        <v>154</v>
      </c>
      <c r="D1006" s="32">
        <v>16.510000000000002</v>
      </c>
      <c r="E1006" s="32">
        <v>17</v>
      </c>
      <c r="F1006" s="32" t="s">
        <v>173</v>
      </c>
      <c r="G1006" s="32">
        <v>3.1120000000000001</v>
      </c>
      <c r="H1006" s="32">
        <v>1.1120000000000001</v>
      </c>
      <c r="I1006" s="32" t="s">
        <v>174</v>
      </c>
      <c r="J1006" s="32">
        <v>1</v>
      </c>
      <c r="K1006" s="32" t="s">
        <v>183</v>
      </c>
      <c r="L1006" s="18">
        <f t="shared" si="15"/>
        <v>999999999</v>
      </c>
    </row>
    <row r="1007" spans="1:12" ht="15" customHeight="1" x14ac:dyDescent="0.25">
      <c r="A1007" s="32" t="s">
        <v>186</v>
      </c>
      <c r="B1007" s="32" t="s">
        <v>59</v>
      </c>
      <c r="C1007" s="32" t="s">
        <v>154</v>
      </c>
      <c r="D1007" s="32">
        <v>17.010000000000002</v>
      </c>
      <c r="E1007" s="32">
        <v>17.5</v>
      </c>
      <c r="F1007" s="32" t="s">
        <v>173</v>
      </c>
      <c r="G1007" s="32">
        <v>3.1259999999999999</v>
      </c>
      <c r="H1007" s="32">
        <v>1.1259999999999999</v>
      </c>
      <c r="I1007" s="32" t="s">
        <v>174</v>
      </c>
      <c r="J1007" s="32">
        <v>1</v>
      </c>
      <c r="K1007" s="32" t="s">
        <v>183</v>
      </c>
      <c r="L1007" s="18">
        <f t="shared" si="15"/>
        <v>999999999</v>
      </c>
    </row>
    <row r="1008" spans="1:12" ht="15" customHeight="1" x14ac:dyDescent="0.25">
      <c r="A1008" s="32" t="s">
        <v>186</v>
      </c>
      <c r="B1008" s="32" t="s">
        <v>59</v>
      </c>
      <c r="C1008" s="32" t="s">
        <v>154</v>
      </c>
      <c r="D1008" s="32">
        <v>17.510000000000002</v>
      </c>
      <c r="E1008" s="32">
        <v>18</v>
      </c>
      <c r="F1008" s="32" t="s">
        <v>173</v>
      </c>
      <c r="G1008" s="32">
        <v>3.14</v>
      </c>
      <c r="H1008" s="32">
        <v>1.1399999999999999</v>
      </c>
      <c r="I1008" s="32" t="s">
        <v>174</v>
      </c>
      <c r="J1008" s="32">
        <v>1</v>
      </c>
      <c r="K1008" s="32" t="s">
        <v>183</v>
      </c>
      <c r="L1008" s="18">
        <f t="shared" si="15"/>
        <v>999999999</v>
      </c>
    </row>
    <row r="1009" spans="1:12" ht="15" customHeight="1" x14ac:dyDescent="0.25">
      <c r="A1009" s="32" t="s">
        <v>186</v>
      </c>
      <c r="B1009" s="32" t="s">
        <v>59</v>
      </c>
      <c r="C1009" s="32" t="s">
        <v>154</v>
      </c>
      <c r="D1009" s="32">
        <v>18.010000000000002</v>
      </c>
      <c r="E1009" s="32">
        <v>18.5</v>
      </c>
      <c r="F1009" s="32" t="s">
        <v>173</v>
      </c>
      <c r="G1009" s="32">
        <v>3.1539999999999999</v>
      </c>
      <c r="H1009" s="32">
        <v>1.1539999999999999</v>
      </c>
      <c r="I1009" s="32" t="s">
        <v>174</v>
      </c>
      <c r="J1009" s="32">
        <v>1</v>
      </c>
      <c r="K1009" s="32" t="s">
        <v>183</v>
      </c>
      <c r="L1009" s="18">
        <f t="shared" si="15"/>
        <v>999999999</v>
      </c>
    </row>
    <row r="1010" spans="1:12" ht="15" customHeight="1" x14ac:dyDescent="0.25">
      <c r="A1010" s="32" t="s">
        <v>186</v>
      </c>
      <c r="B1010" s="32" t="s">
        <v>59</v>
      </c>
      <c r="C1010" s="32" t="s">
        <v>154</v>
      </c>
      <c r="D1010" s="32">
        <v>18.510000000000002</v>
      </c>
      <c r="E1010" s="32">
        <v>19</v>
      </c>
      <c r="F1010" s="32" t="s">
        <v>173</v>
      </c>
      <c r="G1010" s="32">
        <v>3.1680000000000001</v>
      </c>
      <c r="H1010" s="32">
        <v>1.1679999999999999</v>
      </c>
      <c r="I1010" s="32" t="s">
        <v>174</v>
      </c>
      <c r="J1010" s="32">
        <v>1</v>
      </c>
      <c r="K1010" s="32" t="s">
        <v>183</v>
      </c>
      <c r="L1010" s="18">
        <f t="shared" si="15"/>
        <v>999999999</v>
      </c>
    </row>
    <row r="1011" spans="1:12" ht="15" customHeight="1" x14ac:dyDescent="0.25">
      <c r="A1011" s="32" t="s">
        <v>186</v>
      </c>
      <c r="B1011" s="32" t="s">
        <v>59</v>
      </c>
      <c r="C1011" s="32" t="s">
        <v>154</v>
      </c>
      <c r="D1011" s="32">
        <v>19.010000000000002</v>
      </c>
      <c r="E1011" s="32">
        <v>19.5</v>
      </c>
      <c r="F1011" s="32" t="s">
        <v>173</v>
      </c>
      <c r="G1011" s="32">
        <v>3.1819999999999999</v>
      </c>
      <c r="H1011" s="32">
        <v>1.1819999999999999</v>
      </c>
      <c r="I1011" s="32" t="s">
        <v>174</v>
      </c>
      <c r="J1011" s="32">
        <v>1</v>
      </c>
      <c r="K1011" s="32" t="s">
        <v>183</v>
      </c>
      <c r="L1011" s="18">
        <f t="shared" si="15"/>
        <v>999999999</v>
      </c>
    </row>
    <row r="1012" spans="1:12" ht="15" customHeight="1" x14ac:dyDescent="0.25">
      <c r="A1012" s="32" t="s">
        <v>186</v>
      </c>
      <c r="B1012" s="32" t="s">
        <v>59</v>
      </c>
      <c r="C1012" s="32" t="s">
        <v>154</v>
      </c>
      <c r="D1012" s="32">
        <v>19.510000000000002</v>
      </c>
      <c r="E1012" s="32">
        <v>20</v>
      </c>
      <c r="F1012" s="32" t="s">
        <v>173</v>
      </c>
      <c r="G1012" s="32">
        <v>3.1960000000000002</v>
      </c>
      <c r="H1012" s="32">
        <v>1.196</v>
      </c>
      <c r="I1012" s="32" t="s">
        <v>174</v>
      </c>
      <c r="J1012" s="32">
        <v>1</v>
      </c>
      <c r="K1012" s="32" t="s">
        <v>183</v>
      </c>
      <c r="L1012" s="18">
        <f t="shared" si="15"/>
        <v>999999999</v>
      </c>
    </row>
    <row r="1013" spans="1:12" ht="15" customHeight="1" x14ac:dyDescent="0.25">
      <c r="A1013" s="32" t="s">
        <v>186</v>
      </c>
      <c r="B1013" s="32" t="s">
        <v>59</v>
      </c>
      <c r="C1013" s="32" t="s">
        <v>154</v>
      </c>
      <c r="D1013" s="32">
        <v>20.010000000000002</v>
      </c>
      <c r="E1013" s="32">
        <v>20.5</v>
      </c>
      <c r="F1013" s="32" t="s">
        <v>173</v>
      </c>
      <c r="G1013" s="32">
        <v>3.21</v>
      </c>
      <c r="H1013" s="32">
        <v>1.21</v>
      </c>
      <c r="I1013" s="32" t="s">
        <v>174</v>
      </c>
      <c r="J1013" s="32">
        <v>1</v>
      </c>
      <c r="K1013" s="32" t="s">
        <v>183</v>
      </c>
      <c r="L1013" s="18">
        <f t="shared" si="15"/>
        <v>999999999</v>
      </c>
    </row>
    <row r="1014" spans="1:12" ht="15" customHeight="1" x14ac:dyDescent="0.25">
      <c r="A1014" s="32" t="s">
        <v>186</v>
      </c>
      <c r="B1014" s="32" t="s">
        <v>59</v>
      </c>
      <c r="C1014" s="32" t="s">
        <v>154</v>
      </c>
      <c r="D1014" s="32">
        <v>20.51</v>
      </c>
      <c r="E1014" s="32">
        <v>21</v>
      </c>
      <c r="F1014" s="32" t="s">
        <v>173</v>
      </c>
      <c r="G1014" s="32">
        <v>3.2240000000000002</v>
      </c>
      <c r="H1014" s="32">
        <v>1.224</v>
      </c>
      <c r="I1014" s="32" t="s">
        <v>174</v>
      </c>
      <c r="J1014" s="32">
        <v>1</v>
      </c>
      <c r="K1014" s="32" t="s">
        <v>183</v>
      </c>
      <c r="L1014" s="18">
        <f t="shared" si="15"/>
        <v>999999999</v>
      </c>
    </row>
    <row r="1015" spans="1:12" ht="15" customHeight="1" x14ac:dyDescent="0.25">
      <c r="A1015" s="32" t="s">
        <v>186</v>
      </c>
      <c r="B1015" s="32" t="s">
        <v>59</v>
      </c>
      <c r="C1015" s="32" t="s">
        <v>154</v>
      </c>
      <c r="D1015" s="32">
        <v>21.01</v>
      </c>
      <c r="E1015" s="32">
        <v>21.5</v>
      </c>
      <c r="F1015" s="32" t="s">
        <v>173</v>
      </c>
      <c r="G1015" s="32">
        <v>3.238</v>
      </c>
      <c r="H1015" s="32">
        <v>1.238</v>
      </c>
      <c r="I1015" s="32" t="s">
        <v>174</v>
      </c>
      <c r="J1015" s="32">
        <v>1</v>
      </c>
      <c r="K1015" s="32" t="s">
        <v>183</v>
      </c>
      <c r="L1015" s="18">
        <f t="shared" si="15"/>
        <v>999999999</v>
      </c>
    </row>
    <row r="1016" spans="1:12" ht="15" customHeight="1" x14ac:dyDescent="0.25">
      <c r="A1016" s="32" t="s">
        <v>186</v>
      </c>
      <c r="B1016" s="32" t="s">
        <v>59</v>
      </c>
      <c r="C1016" s="32" t="s">
        <v>154</v>
      </c>
      <c r="D1016" s="32">
        <v>21.51</v>
      </c>
      <c r="E1016" s="32">
        <v>22</v>
      </c>
      <c r="F1016" s="32" t="s">
        <v>173</v>
      </c>
      <c r="G1016" s="32">
        <v>3.2519999999999998</v>
      </c>
      <c r="H1016" s="32">
        <v>1.252</v>
      </c>
      <c r="I1016" s="32" t="s">
        <v>174</v>
      </c>
      <c r="J1016" s="32">
        <v>1</v>
      </c>
      <c r="K1016" s="32" t="s">
        <v>183</v>
      </c>
      <c r="L1016" s="18">
        <f t="shared" si="15"/>
        <v>999999999</v>
      </c>
    </row>
    <row r="1017" spans="1:12" ht="15" customHeight="1" x14ac:dyDescent="0.25">
      <c r="A1017" s="32" t="s">
        <v>186</v>
      </c>
      <c r="B1017" s="32" t="s">
        <v>59</v>
      </c>
      <c r="C1017" s="32" t="s">
        <v>154</v>
      </c>
      <c r="D1017" s="32">
        <v>22.01</v>
      </c>
      <c r="E1017" s="32">
        <v>22.5</v>
      </c>
      <c r="F1017" s="32" t="s">
        <v>173</v>
      </c>
      <c r="G1017" s="32">
        <v>3.266</v>
      </c>
      <c r="H1017" s="32">
        <v>1.266</v>
      </c>
      <c r="I1017" s="32" t="s">
        <v>174</v>
      </c>
      <c r="J1017" s="32">
        <v>1</v>
      </c>
      <c r="K1017" s="32" t="s">
        <v>183</v>
      </c>
      <c r="L1017" s="18">
        <f t="shared" si="15"/>
        <v>999999999</v>
      </c>
    </row>
    <row r="1018" spans="1:12" ht="15" customHeight="1" x14ac:dyDescent="0.25">
      <c r="A1018" s="32" t="s">
        <v>186</v>
      </c>
      <c r="B1018" s="32" t="s">
        <v>59</v>
      </c>
      <c r="C1018" s="32" t="s">
        <v>154</v>
      </c>
      <c r="D1018" s="32">
        <v>22.51</v>
      </c>
      <c r="E1018" s="32">
        <v>23</v>
      </c>
      <c r="F1018" s="32" t="s">
        <v>173</v>
      </c>
      <c r="G1018" s="32">
        <v>3.28</v>
      </c>
      <c r="H1018" s="32">
        <v>1.28</v>
      </c>
      <c r="I1018" s="32" t="s">
        <v>174</v>
      </c>
      <c r="J1018" s="32">
        <v>1</v>
      </c>
      <c r="K1018" s="32" t="s">
        <v>183</v>
      </c>
      <c r="L1018" s="18">
        <f t="shared" si="15"/>
        <v>999999999</v>
      </c>
    </row>
    <row r="1019" spans="1:12" ht="15" customHeight="1" x14ac:dyDescent="0.25">
      <c r="A1019" s="32" t="s">
        <v>186</v>
      </c>
      <c r="B1019" s="32" t="s">
        <v>59</v>
      </c>
      <c r="C1019" s="32" t="s">
        <v>154</v>
      </c>
      <c r="D1019" s="32">
        <v>23.01</v>
      </c>
      <c r="E1019" s="32">
        <v>23.5</v>
      </c>
      <c r="F1019" s="32" t="s">
        <v>173</v>
      </c>
      <c r="G1019" s="32">
        <v>3.294</v>
      </c>
      <c r="H1019" s="32">
        <v>1.294</v>
      </c>
      <c r="I1019" s="32" t="s">
        <v>174</v>
      </c>
      <c r="J1019" s="32">
        <v>1</v>
      </c>
      <c r="K1019" s="32" t="s">
        <v>183</v>
      </c>
      <c r="L1019" s="18">
        <f t="shared" si="15"/>
        <v>999999999</v>
      </c>
    </row>
    <row r="1020" spans="1:12" ht="15" customHeight="1" x14ac:dyDescent="0.25">
      <c r="A1020" s="32" t="s">
        <v>186</v>
      </c>
      <c r="B1020" s="32" t="s">
        <v>59</v>
      </c>
      <c r="C1020" s="32" t="s">
        <v>154</v>
      </c>
      <c r="D1020" s="32">
        <v>23.51</v>
      </c>
      <c r="E1020" s="32">
        <v>24</v>
      </c>
      <c r="F1020" s="32" t="s">
        <v>173</v>
      </c>
      <c r="G1020" s="32">
        <v>3.3079999999999998</v>
      </c>
      <c r="H1020" s="32">
        <v>1.3080000000000001</v>
      </c>
      <c r="I1020" s="32" t="s">
        <v>174</v>
      </c>
      <c r="J1020" s="32">
        <v>1</v>
      </c>
      <c r="K1020" s="32" t="s">
        <v>183</v>
      </c>
      <c r="L1020" s="18">
        <f t="shared" si="15"/>
        <v>999999999</v>
      </c>
    </row>
    <row r="1021" spans="1:12" ht="15" customHeight="1" x14ac:dyDescent="0.25">
      <c r="A1021" s="32" t="s">
        <v>186</v>
      </c>
      <c r="B1021" s="32" t="s">
        <v>59</v>
      </c>
      <c r="C1021" s="32" t="s">
        <v>154</v>
      </c>
      <c r="D1021" s="32">
        <v>24.01</v>
      </c>
      <c r="E1021" s="32">
        <v>24.5</v>
      </c>
      <c r="F1021" s="32" t="s">
        <v>173</v>
      </c>
      <c r="G1021" s="32">
        <v>3.3220000000000001</v>
      </c>
      <c r="H1021" s="32">
        <v>1.3220000000000001</v>
      </c>
      <c r="I1021" s="32" t="s">
        <v>174</v>
      </c>
      <c r="J1021" s="32">
        <v>1</v>
      </c>
      <c r="K1021" s="32" t="s">
        <v>183</v>
      </c>
      <c r="L1021" s="18">
        <f t="shared" si="15"/>
        <v>999999999</v>
      </c>
    </row>
    <row r="1022" spans="1:12" ht="15" customHeight="1" x14ac:dyDescent="0.25">
      <c r="A1022" s="32" t="s">
        <v>186</v>
      </c>
      <c r="B1022" s="32" t="s">
        <v>59</v>
      </c>
      <c r="C1022" s="32" t="s">
        <v>154</v>
      </c>
      <c r="D1022" s="32">
        <v>24.51</v>
      </c>
      <c r="E1022" s="32">
        <v>25</v>
      </c>
      <c r="F1022" s="32" t="s">
        <v>173</v>
      </c>
      <c r="G1022" s="32">
        <v>3.3359999999999999</v>
      </c>
      <c r="H1022" s="32">
        <v>1.3360000000000001</v>
      </c>
      <c r="I1022" s="32" t="s">
        <v>174</v>
      </c>
      <c r="J1022" s="32">
        <v>1</v>
      </c>
      <c r="K1022" s="32" t="s">
        <v>183</v>
      </c>
      <c r="L1022" s="18">
        <f t="shared" si="15"/>
        <v>999999999</v>
      </c>
    </row>
    <row r="1023" spans="1:12" ht="15" customHeight="1" x14ac:dyDescent="0.25">
      <c r="A1023" s="32" t="s">
        <v>186</v>
      </c>
      <c r="B1023" s="32" t="s">
        <v>59</v>
      </c>
      <c r="C1023" s="32" t="s">
        <v>154</v>
      </c>
      <c r="D1023" s="32">
        <v>25.01</v>
      </c>
      <c r="E1023" s="32">
        <v>25.5</v>
      </c>
      <c r="F1023" s="32" t="s">
        <v>173</v>
      </c>
      <c r="G1023" s="32">
        <v>3.3847999999999998</v>
      </c>
      <c r="H1023" s="32">
        <v>1.3848</v>
      </c>
      <c r="I1023" s="32" t="s">
        <v>174</v>
      </c>
      <c r="J1023" s="32">
        <v>1</v>
      </c>
      <c r="K1023" s="32" t="s">
        <v>183</v>
      </c>
      <c r="L1023" s="18">
        <f t="shared" si="15"/>
        <v>999999999</v>
      </c>
    </row>
    <row r="1024" spans="1:12" ht="15" customHeight="1" x14ac:dyDescent="0.25">
      <c r="A1024" s="32" t="s">
        <v>186</v>
      </c>
      <c r="B1024" s="32" t="s">
        <v>59</v>
      </c>
      <c r="C1024" s="32" t="s">
        <v>154</v>
      </c>
      <c r="D1024" s="32">
        <v>25.51</v>
      </c>
      <c r="E1024" s="32">
        <v>26</v>
      </c>
      <c r="F1024" s="32" t="s">
        <v>173</v>
      </c>
      <c r="G1024" s="32">
        <v>3.4336000000000002</v>
      </c>
      <c r="H1024" s="32">
        <v>1.4336</v>
      </c>
      <c r="I1024" s="32" t="s">
        <v>174</v>
      </c>
      <c r="J1024" s="32">
        <v>1</v>
      </c>
      <c r="K1024" s="32" t="s">
        <v>183</v>
      </c>
      <c r="L1024" s="18">
        <f t="shared" si="15"/>
        <v>999999999</v>
      </c>
    </row>
    <row r="1025" spans="1:12" ht="15" customHeight="1" x14ac:dyDescent="0.25">
      <c r="A1025" s="32" t="s">
        <v>186</v>
      </c>
      <c r="B1025" s="32" t="s">
        <v>59</v>
      </c>
      <c r="C1025" s="32" t="s">
        <v>154</v>
      </c>
      <c r="D1025" s="32">
        <v>26.01</v>
      </c>
      <c r="E1025" s="32">
        <v>26.5</v>
      </c>
      <c r="F1025" s="32" t="s">
        <v>173</v>
      </c>
      <c r="G1025" s="32">
        <v>3.4824000000000002</v>
      </c>
      <c r="H1025" s="32">
        <v>1.4823999999999999</v>
      </c>
      <c r="I1025" s="32" t="s">
        <v>174</v>
      </c>
      <c r="J1025" s="32">
        <v>1</v>
      </c>
      <c r="K1025" s="32" t="s">
        <v>183</v>
      </c>
      <c r="L1025" s="18">
        <f t="shared" si="15"/>
        <v>999999999</v>
      </c>
    </row>
    <row r="1026" spans="1:12" ht="15" customHeight="1" x14ac:dyDescent="0.25">
      <c r="A1026" s="32" t="s">
        <v>186</v>
      </c>
      <c r="B1026" s="32" t="s">
        <v>59</v>
      </c>
      <c r="C1026" s="32" t="s">
        <v>154</v>
      </c>
      <c r="D1026" s="32">
        <v>26.51</v>
      </c>
      <c r="E1026" s="32">
        <v>27</v>
      </c>
      <c r="F1026" s="32" t="s">
        <v>173</v>
      </c>
      <c r="G1026" s="32">
        <v>3.5312000000000001</v>
      </c>
      <c r="H1026" s="32">
        <v>1.5311999999999999</v>
      </c>
      <c r="I1026" s="32" t="s">
        <v>174</v>
      </c>
      <c r="J1026" s="32">
        <v>1</v>
      </c>
      <c r="K1026" s="32" t="s">
        <v>183</v>
      </c>
      <c r="L1026" s="18">
        <f t="shared" ref="L1026:L1089" si="16">IF(AND(B1026=Quote_Port,D1026&lt;=Quote_Weight,Quote_Weight&lt;=E1026,OR(Quote_2Day="No",J1026&lt;=2)),MAX(G1026,Quote_Weight*H1026)*Quote_USDINR,999999999)</f>
        <v>999999999</v>
      </c>
    </row>
    <row r="1027" spans="1:12" ht="15" customHeight="1" x14ac:dyDescent="0.25">
      <c r="A1027" s="32" t="s">
        <v>186</v>
      </c>
      <c r="B1027" s="32" t="s">
        <v>59</v>
      </c>
      <c r="C1027" s="32" t="s">
        <v>154</v>
      </c>
      <c r="D1027" s="32">
        <v>27.01</v>
      </c>
      <c r="E1027" s="32">
        <v>27.5</v>
      </c>
      <c r="F1027" s="32" t="s">
        <v>173</v>
      </c>
      <c r="G1027" s="32">
        <v>3.58</v>
      </c>
      <c r="H1027" s="32">
        <v>1.58</v>
      </c>
      <c r="I1027" s="32" t="s">
        <v>174</v>
      </c>
      <c r="J1027" s="32">
        <v>1</v>
      </c>
      <c r="K1027" s="32" t="s">
        <v>183</v>
      </c>
      <c r="L1027" s="18">
        <f t="shared" si="16"/>
        <v>999999999</v>
      </c>
    </row>
    <row r="1028" spans="1:12" ht="15" customHeight="1" x14ac:dyDescent="0.25">
      <c r="A1028" s="32" t="s">
        <v>186</v>
      </c>
      <c r="B1028" s="32" t="s">
        <v>59</v>
      </c>
      <c r="C1028" s="32" t="s">
        <v>154</v>
      </c>
      <c r="D1028" s="32">
        <v>27.51</v>
      </c>
      <c r="E1028" s="32">
        <v>28</v>
      </c>
      <c r="F1028" s="32" t="s">
        <v>173</v>
      </c>
      <c r="G1028" s="32">
        <v>3.6288</v>
      </c>
      <c r="H1028" s="32">
        <v>1.6288</v>
      </c>
      <c r="I1028" s="32" t="s">
        <v>174</v>
      </c>
      <c r="J1028" s="32">
        <v>1</v>
      </c>
      <c r="K1028" s="32" t="s">
        <v>183</v>
      </c>
      <c r="L1028" s="18">
        <f t="shared" si="16"/>
        <v>999999999</v>
      </c>
    </row>
    <row r="1029" spans="1:12" ht="15" customHeight="1" x14ac:dyDescent="0.25">
      <c r="A1029" s="32" t="s">
        <v>186</v>
      </c>
      <c r="B1029" s="32" t="s">
        <v>59</v>
      </c>
      <c r="C1029" s="32" t="s">
        <v>154</v>
      </c>
      <c r="D1029" s="32">
        <v>28.01</v>
      </c>
      <c r="E1029" s="32">
        <v>28.5</v>
      </c>
      <c r="F1029" s="32" t="s">
        <v>173</v>
      </c>
      <c r="G1029" s="32">
        <v>3.6776</v>
      </c>
      <c r="H1029" s="32">
        <v>1.6776</v>
      </c>
      <c r="I1029" s="32" t="s">
        <v>174</v>
      </c>
      <c r="J1029" s="32">
        <v>1</v>
      </c>
      <c r="K1029" s="32" t="s">
        <v>183</v>
      </c>
      <c r="L1029" s="18">
        <f t="shared" si="16"/>
        <v>999999999</v>
      </c>
    </row>
    <row r="1030" spans="1:12" ht="15" customHeight="1" x14ac:dyDescent="0.25">
      <c r="A1030" s="32" t="s">
        <v>186</v>
      </c>
      <c r="B1030" s="32" t="s">
        <v>59</v>
      </c>
      <c r="C1030" s="32" t="s">
        <v>154</v>
      </c>
      <c r="D1030" s="32">
        <v>28.51</v>
      </c>
      <c r="E1030" s="32">
        <v>29</v>
      </c>
      <c r="F1030" s="32" t="s">
        <v>173</v>
      </c>
      <c r="G1030" s="32">
        <v>3.7263999999999999</v>
      </c>
      <c r="H1030" s="32">
        <v>1.7263999999999999</v>
      </c>
      <c r="I1030" s="32" t="s">
        <v>174</v>
      </c>
      <c r="J1030" s="32">
        <v>1</v>
      </c>
      <c r="K1030" s="32" t="s">
        <v>183</v>
      </c>
      <c r="L1030" s="18">
        <f t="shared" si="16"/>
        <v>999999999</v>
      </c>
    </row>
    <row r="1031" spans="1:12" ht="15" customHeight="1" x14ac:dyDescent="0.25">
      <c r="A1031" s="32" t="s">
        <v>186</v>
      </c>
      <c r="B1031" s="32" t="s">
        <v>59</v>
      </c>
      <c r="C1031" s="32" t="s">
        <v>154</v>
      </c>
      <c r="D1031" s="32">
        <v>29.01</v>
      </c>
      <c r="E1031" s="32">
        <v>29.5</v>
      </c>
      <c r="F1031" s="32" t="s">
        <v>173</v>
      </c>
      <c r="G1031" s="32">
        <v>3.7751999999999999</v>
      </c>
      <c r="H1031" s="32">
        <v>1.7751999999999999</v>
      </c>
      <c r="I1031" s="32" t="s">
        <v>174</v>
      </c>
      <c r="J1031" s="32">
        <v>1</v>
      </c>
      <c r="K1031" s="32" t="s">
        <v>183</v>
      </c>
      <c r="L1031" s="18">
        <f t="shared" si="16"/>
        <v>999999999</v>
      </c>
    </row>
    <row r="1032" spans="1:12" ht="15" customHeight="1" x14ac:dyDescent="0.25">
      <c r="A1032" s="32" t="s">
        <v>186</v>
      </c>
      <c r="B1032" s="32" t="s">
        <v>59</v>
      </c>
      <c r="C1032" s="32" t="s">
        <v>154</v>
      </c>
      <c r="D1032" s="32">
        <v>29.51</v>
      </c>
      <c r="E1032" s="32">
        <v>30</v>
      </c>
      <c r="F1032" s="32" t="s">
        <v>173</v>
      </c>
      <c r="G1032" s="32">
        <v>3.8239999999999998</v>
      </c>
      <c r="H1032" s="32">
        <v>1.8240000000000001</v>
      </c>
      <c r="I1032" s="32" t="s">
        <v>174</v>
      </c>
      <c r="J1032" s="32">
        <v>1</v>
      </c>
      <c r="K1032" s="32" t="s">
        <v>183</v>
      </c>
      <c r="L1032" s="18">
        <f t="shared" si="16"/>
        <v>999999999</v>
      </c>
    </row>
    <row r="1033" spans="1:12" ht="15" customHeight="1" x14ac:dyDescent="0.25">
      <c r="A1033" s="32" t="s">
        <v>186</v>
      </c>
      <c r="B1033" s="32" t="s">
        <v>59</v>
      </c>
      <c r="C1033" s="32" t="s">
        <v>154</v>
      </c>
      <c r="D1033" s="32">
        <v>30.01</v>
      </c>
      <c r="E1033" s="32">
        <v>30.5</v>
      </c>
      <c r="F1033" s="32" t="s">
        <v>173</v>
      </c>
      <c r="G1033" s="32">
        <v>3.8727999999999998</v>
      </c>
      <c r="H1033" s="32">
        <v>1.8728</v>
      </c>
      <c r="I1033" s="32" t="s">
        <v>174</v>
      </c>
      <c r="J1033" s="32">
        <v>1</v>
      </c>
      <c r="K1033" s="32" t="s">
        <v>183</v>
      </c>
      <c r="L1033" s="18">
        <f t="shared" si="16"/>
        <v>999999999</v>
      </c>
    </row>
    <row r="1034" spans="1:12" ht="15" customHeight="1" x14ac:dyDescent="0.25">
      <c r="A1034" s="32" t="s">
        <v>186</v>
      </c>
      <c r="B1034" s="32" t="s">
        <v>59</v>
      </c>
      <c r="C1034" s="32" t="s">
        <v>154</v>
      </c>
      <c r="D1034" s="32">
        <v>30.51</v>
      </c>
      <c r="E1034" s="32">
        <v>31</v>
      </c>
      <c r="F1034" s="32" t="s">
        <v>173</v>
      </c>
      <c r="G1034" s="32">
        <v>3.9216000000000002</v>
      </c>
      <c r="H1034" s="32">
        <v>1.9216</v>
      </c>
      <c r="I1034" s="32" t="s">
        <v>174</v>
      </c>
      <c r="J1034" s="32">
        <v>1</v>
      </c>
      <c r="K1034" s="32" t="s">
        <v>183</v>
      </c>
      <c r="L1034" s="18">
        <f t="shared" si="16"/>
        <v>999999999</v>
      </c>
    </row>
    <row r="1035" spans="1:12" ht="15" customHeight="1" x14ac:dyDescent="0.25">
      <c r="A1035" s="32" t="s">
        <v>186</v>
      </c>
      <c r="B1035" s="32" t="s">
        <v>59</v>
      </c>
      <c r="C1035" s="32" t="s">
        <v>154</v>
      </c>
      <c r="D1035" s="32">
        <v>31.01</v>
      </c>
      <c r="E1035" s="32">
        <v>31.5</v>
      </c>
      <c r="F1035" s="32" t="s">
        <v>173</v>
      </c>
      <c r="G1035" s="32">
        <v>3.9704000000000002</v>
      </c>
      <c r="H1035" s="32">
        <v>1.9703999999999999</v>
      </c>
      <c r="I1035" s="32" t="s">
        <v>174</v>
      </c>
      <c r="J1035" s="32">
        <v>1</v>
      </c>
      <c r="K1035" s="32" t="s">
        <v>183</v>
      </c>
      <c r="L1035" s="18">
        <f t="shared" si="16"/>
        <v>999999999</v>
      </c>
    </row>
    <row r="1036" spans="1:12" ht="15" customHeight="1" x14ac:dyDescent="0.25">
      <c r="A1036" s="32" t="s">
        <v>186</v>
      </c>
      <c r="B1036" s="32" t="s">
        <v>59</v>
      </c>
      <c r="C1036" s="32" t="s">
        <v>154</v>
      </c>
      <c r="D1036" s="32">
        <v>31.51</v>
      </c>
      <c r="E1036" s="32">
        <v>32</v>
      </c>
      <c r="F1036" s="32" t="s">
        <v>173</v>
      </c>
      <c r="G1036" s="32">
        <v>5.0191999999999997</v>
      </c>
      <c r="H1036" s="32">
        <v>1.0192000000000001</v>
      </c>
      <c r="I1036" s="32" t="s">
        <v>174</v>
      </c>
      <c r="J1036" s="32">
        <v>1</v>
      </c>
      <c r="K1036" s="32" t="s">
        <v>183</v>
      </c>
      <c r="L1036" s="18">
        <f t="shared" si="16"/>
        <v>999999999</v>
      </c>
    </row>
    <row r="1037" spans="1:12" ht="15" customHeight="1" x14ac:dyDescent="0.25">
      <c r="A1037" s="32" t="s">
        <v>186</v>
      </c>
      <c r="B1037" s="32" t="s">
        <v>59</v>
      </c>
      <c r="C1037" s="32" t="s">
        <v>154</v>
      </c>
      <c r="D1037" s="32">
        <v>32.01</v>
      </c>
      <c r="E1037" s="32">
        <v>32.5</v>
      </c>
      <c r="F1037" s="32" t="s">
        <v>173</v>
      </c>
      <c r="G1037" s="32">
        <v>5.0679999999999996</v>
      </c>
      <c r="H1037" s="32">
        <v>3.0680000000000001</v>
      </c>
      <c r="I1037" s="32" t="s">
        <v>174</v>
      </c>
      <c r="J1037" s="32">
        <v>1</v>
      </c>
      <c r="K1037" s="32" t="s">
        <v>183</v>
      </c>
      <c r="L1037" s="18">
        <f t="shared" si="16"/>
        <v>999999999</v>
      </c>
    </row>
    <row r="1038" spans="1:12" ht="15" customHeight="1" x14ac:dyDescent="0.25">
      <c r="A1038" s="32" t="s">
        <v>186</v>
      </c>
      <c r="B1038" s="32" t="s">
        <v>59</v>
      </c>
      <c r="C1038" s="32" t="s">
        <v>154</v>
      </c>
      <c r="D1038" s="32">
        <v>32.51</v>
      </c>
      <c r="E1038" s="32">
        <v>33</v>
      </c>
      <c r="F1038" s="32" t="s">
        <v>173</v>
      </c>
      <c r="G1038" s="32">
        <v>5.1167999999999996</v>
      </c>
      <c r="H1038" s="32">
        <v>2.1168</v>
      </c>
      <c r="I1038" s="32" t="s">
        <v>174</v>
      </c>
      <c r="J1038" s="32">
        <v>1</v>
      </c>
      <c r="K1038" s="32" t="s">
        <v>183</v>
      </c>
      <c r="L1038" s="18">
        <f t="shared" si="16"/>
        <v>999999999</v>
      </c>
    </row>
    <row r="1039" spans="1:12" ht="15" customHeight="1" x14ac:dyDescent="0.25">
      <c r="A1039" s="32" t="s">
        <v>186</v>
      </c>
      <c r="B1039" s="32" t="s">
        <v>59</v>
      </c>
      <c r="C1039" s="32" t="s">
        <v>154</v>
      </c>
      <c r="D1039" s="32">
        <v>33.01</v>
      </c>
      <c r="E1039" s="32">
        <v>33.5</v>
      </c>
      <c r="F1039" s="32" t="s">
        <v>173</v>
      </c>
      <c r="G1039" s="32">
        <v>5.1656000000000004</v>
      </c>
      <c r="H1039" s="32">
        <v>3.1656</v>
      </c>
      <c r="I1039" s="32" t="s">
        <v>174</v>
      </c>
      <c r="J1039" s="32">
        <v>1</v>
      </c>
      <c r="K1039" s="32" t="s">
        <v>183</v>
      </c>
      <c r="L1039" s="18">
        <f t="shared" si="16"/>
        <v>999999999</v>
      </c>
    </row>
    <row r="1040" spans="1:12" ht="15" customHeight="1" x14ac:dyDescent="0.25">
      <c r="A1040" s="32" t="s">
        <v>186</v>
      </c>
      <c r="B1040" s="32" t="s">
        <v>59</v>
      </c>
      <c r="C1040" s="32" t="s">
        <v>154</v>
      </c>
      <c r="D1040" s="32">
        <v>33.51</v>
      </c>
      <c r="E1040" s="32">
        <v>34</v>
      </c>
      <c r="F1040" s="32" t="s">
        <v>173</v>
      </c>
      <c r="G1040" s="32">
        <v>5.2144000000000004</v>
      </c>
      <c r="H1040" s="32">
        <v>3.2143999999999999</v>
      </c>
      <c r="I1040" s="32" t="s">
        <v>174</v>
      </c>
      <c r="J1040" s="32">
        <v>1</v>
      </c>
      <c r="K1040" s="32" t="s">
        <v>183</v>
      </c>
      <c r="L1040" s="18">
        <f t="shared" si="16"/>
        <v>999999999</v>
      </c>
    </row>
    <row r="1041" spans="1:12" ht="15" customHeight="1" x14ac:dyDescent="0.25">
      <c r="A1041" s="32" t="s">
        <v>186</v>
      </c>
      <c r="B1041" s="32" t="s">
        <v>59</v>
      </c>
      <c r="C1041" s="32" t="s">
        <v>154</v>
      </c>
      <c r="D1041" s="32">
        <v>34.01</v>
      </c>
      <c r="E1041" s="32">
        <v>34.5</v>
      </c>
      <c r="F1041" s="32" t="s">
        <v>173</v>
      </c>
      <c r="G1041" s="32">
        <v>5.2632000000000003</v>
      </c>
      <c r="H1041" s="32">
        <v>2.2631999999999999</v>
      </c>
      <c r="I1041" s="32" t="s">
        <v>174</v>
      </c>
      <c r="J1041" s="32">
        <v>1</v>
      </c>
      <c r="K1041" s="32" t="s">
        <v>183</v>
      </c>
      <c r="L1041" s="18">
        <f t="shared" si="16"/>
        <v>999999999</v>
      </c>
    </row>
    <row r="1042" spans="1:12" ht="15" customHeight="1" x14ac:dyDescent="0.25">
      <c r="A1042" s="32" t="s">
        <v>186</v>
      </c>
      <c r="B1042" s="32" t="s">
        <v>59</v>
      </c>
      <c r="C1042" s="32" t="s">
        <v>154</v>
      </c>
      <c r="D1042" s="32">
        <v>34.51</v>
      </c>
      <c r="E1042" s="32">
        <v>35</v>
      </c>
      <c r="F1042" s="32" t="s">
        <v>173</v>
      </c>
      <c r="G1042" s="32">
        <v>5.3120000000000003</v>
      </c>
      <c r="H1042" s="32">
        <v>1.3120000000000001</v>
      </c>
      <c r="I1042" s="32" t="s">
        <v>174</v>
      </c>
      <c r="J1042" s="32">
        <v>1</v>
      </c>
      <c r="K1042" s="32" t="s">
        <v>183</v>
      </c>
      <c r="L1042" s="18">
        <f t="shared" si="16"/>
        <v>999999999</v>
      </c>
    </row>
    <row r="1043" spans="1:12" ht="15" customHeight="1" x14ac:dyDescent="0.25">
      <c r="A1043" s="32" t="s">
        <v>186</v>
      </c>
      <c r="B1043" s="32" t="s">
        <v>59</v>
      </c>
      <c r="C1043" s="32" t="s">
        <v>154</v>
      </c>
      <c r="D1043" s="32">
        <v>35.01</v>
      </c>
      <c r="E1043" s="32">
        <v>35.5</v>
      </c>
      <c r="F1043" s="32" t="s">
        <v>173</v>
      </c>
      <c r="G1043" s="32">
        <v>5.3608000000000002</v>
      </c>
      <c r="H1043" s="32">
        <v>3.3607999999999998</v>
      </c>
      <c r="I1043" s="32" t="s">
        <v>174</v>
      </c>
      <c r="J1043" s="32">
        <v>1</v>
      </c>
      <c r="K1043" s="32" t="s">
        <v>183</v>
      </c>
      <c r="L1043" s="18">
        <f t="shared" si="16"/>
        <v>999999999</v>
      </c>
    </row>
    <row r="1044" spans="1:12" ht="15" customHeight="1" x14ac:dyDescent="0.25">
      <c r="A1044" s="32" t="s">
        <v>186</v>
      </c>
      <c r="B1044" s="32" t="s">
        <v>59</v>
      </c>
      <c r="C1044" s="32" t="s">
        <v>154</v>
      </c>
      <c r="D1044" s="32">
        <v>35.51</v>
      </c>
      <c r="E1044" s="32">
        <v>36</v>
      </c>
      <c r="F1044" s="32" t="s">
        <v>173</v>
      </c>
      <c r="G1044" s="32">
        <v>5.4096000000000002</v>
      </c>
      <c r="H1044" s="32">
        <v>1.4096</v>
      </c>
      <c r="I1044" s="32" t="s">
        <v>174</v>
      </c>
      <c r="J1044" s="32">
        <v>1</v>
      </c>
      <c r="K1044" s="32" t="s">
        <v>183</v>
      </c>
      <c r="L1044" s="18">
        <f t="shared" si="16"/>
        <v>999999999</v>
      </c>
    </row>
    <row r="1045" spans="1:12" ht="15" customHeight="1" x14ac:dyDescent="0.25">
      <c r="A1045" s="32" t="s">
        <v>186</v>
      </c>
      <c r="B1045" s="32" t="s">
        <v>59</v>
      </c>
      <c r="C1045" s="32" t="s">
        <v>154</v>
      </c>
      <c r="D1045" s="32">
        <v>36.01</v>
      </c>
      <c r="E1045" s="32">
        <v>36.5</v>
      </c>
      <c r="F1045" s="32" t="s">
        <v>173</v>
      </c>
      <c r="G1045" s="32">
        <v>5.4584000000000001</v>
      </c>
      <c r="H1045" s="32">
        <v>2.4584000000000001</v>
      </c>
      <c r="I1045" s="32" t="s">
        <v>174</v>
      </c>
      <c r="J1045" s="32">
        <v>1</v>
      </c>
      <c r="K1045" s="32" t="s">
        <v>183</v>
      </c>
      <c r="L1045" s="18">
        <f t="shared" si="16"/>
        <v>999999999</v>
      </c>
    </row>
    <row r="1046" spans="1:12" ht="15" customHeight="1" x14ac:dyDescent="0.25">
      <c r="A1046" s="32" t="s">
        <v>186</v>
      </c>
      <c r="B1046" s="32" t="s">
        <v>59</v>
      </c>
      <c r="C1046" s="32" t="s">
        <v>154</v>
      </c>
      <c r="D1046" s="32">
        <v>36.51</v>
      </c>
      <c r="E1046" s="32">
        <v>37</v>
      </c>
      <c r="F1046" s="32" t="s">
        <v>173</v>
      </c>
      <c r="G1046" s="32">
        <v>5.5072000000000001</v>
      </c>
      <c r="H1046" s="32">
        <v>1.5072000000000001</v>
      </c>
      <c r="I1046" s="32" t="s">
        <v>174</v>
      </c>
      <c r="J1046" s="32">
        <v>1</v>
      </c>
      <c r="K1046" s="32" t="s">
        <v>183</v>
      </c>
      <c r="L1046" s="18">
        <f t="shared" si="16"/>
        <v>999999999</v>
      </c>
    </row>
    <row r="1047" spans="1:12" ht="15" customHeight="1" x14ac:dyDescent="0.25">
      <c r="A1047" s="32" t="s">
        <v>186</v>
      </c>
      <c r="B1047" s="32" t="s">
        <v>59</v>
      </c>
      <c r="C1047" s="32" t="s">
        <v>154</v>
      </c>
      <c r="D1047" s="32">
        <v>37.01</v>
      </c>
      <c r="E1047" s="32">
        <v>37.5</v>
      </c>
      <c r="F1047" s="32" t="s">
        <v>173</v>
      </c>
      <c r="G1047" s="32">
        <v>5.556</v>
      </c>
      <c r="H1047" s="32">
        <v>2.556</v>
      </c>
      <c r="I1047" s="32" t="s">
        <v>174</v>
      </c>
      <c r="J1047" s="32">
        <v>1</v>
      </c>
      <c r="K1047" s="32" t="s">
        <v>183</v>
      </c>
      <c r="L1047" s="18">
        <f t="shared" si="16"/>
        <v>999999999</v>
      </c>
    </row>
    <row r="1048" spans="1:12" ht="15" customHeight="1" x14ac:dyDescent="0.25">
      <c r="A1048" s="32" t="s">
        <v>186</v>
      </c>
      <c r="B1048" s="32" t="s">
        <v>59</v>
      </c>
      <c r="C1048" s="32" t="s">
        <v>154</v>
      </c>
      <c r="D1048" s="32">
        <v>37.51</v>
      </c>
      <c r="E1048" s="32">
        <v>38</v>
      </c>
      <c r="F1048" s="32" t="s">
        <v>173</v>
      </c>
      <c r="G1048" s="32">
        <v>5.6048</v>
      </c>
      <c r="H1048" s="32">
        <v>3.6048</v>
      </c>
      <c r="I1048" s="32" t="s">
        <v>174</v>
      </c>
      <c r="J1048" s="32">
        <v>1</v>
      </c>
      <c r="K1048" s="32" t="s">
        <v>183</v>
      </c>
      <c r="L1048" s="18">
        <f t="shared" si="16"/>
        <v>999999999</v>
      </c>
    </row>
    <row r="1049" spans="1:12" ht="15" customHeight="1" x14ac:dyDescent="0.25">
      <c r="A1049" s="32" t="s">
        <v>186</v>
      </c>
      <c r="B1049" s="32" t="s">
        <v>59</v>
      </c>
      <c r="C1049" s="32" t="s">
        <v>154</v>
      </c>
      <c r="D1049" s="32">
        <v>38.01</v>
      </c>
      <c r="E1049" s="32">
        <v>38.5</v>
      </c>
      <c r="F1049" s="32" t="s">
        <v>173</v>
      </c>
      <c r="G1049" s="32">
        <v>5.6536</v>
      </c>
      <c r="H1049" s="32">
        <v>1.6536</v>
      </c>
      <c r="I1049" s="32" t="s">
        <v>174</v>
      </c>
      <c r="J1049" s="32">
        <v>1</v>
      </c>
      <c r="K1049" s="32" t="s">
        <v>183</v>
      </c>
      <c r="L1049" s="18">
        <f t="shared" si="16"/>
        <v>999999999</v>
      </c>
    </row>
    <row r="1050" spans="1:12" ht="15" customHeight="1" x14ac:dyDescent="0.25">
      <c r="A1050" s="32" t="s">
        <v>186</v>
      </c>
      <c r="B1050" s="32" t="s">
        <v>59</v>
      </c>
      <c r="C1050" s="32" t="s">
        <v>154</v>
      </c>
      <c r="D1050" s="32">
        <v>38.51</v>
      </c>
      <c r="E1050" s="32">
        <v>39</v>
      </c>
      <c r="F1050" s="32" t="s">
        <v>173</v>
      </c>
      <c r="G1050" s="32">
        <v>5.7023999999999999</v>
      </c>
      <c r="H1050" s="32">
        <v>2.7023999999999999</v>
      </c>
      <c r="I1050" s="32" t="s">
        <v>174</v>
      </c>
      <c r="J1050" s="32">
        <v>1</v>
      </c>
      <c r="K1050" s="32" t="s">
        <v>183</v>
      </c>
      <c r="L1050" s="18">
        <f t="shared" si="16"/>
        <v>999999999</v>
      </c>
    </row>
    <row r="1051" spans="1:12" ht="15" customHeight="1" x14ac:dyDescent="0.25">
      <c r="A1051" s="32" t="s">
        <v>186</v>
      </c>
      <c r="B1051" s="32" t="s">
        <v>59</v>
      </c>
      <c r="C1051" s="32" t="s">
        <v>154</v>
      </c>
      <c r="D1051" s="32">
        <v>39.01</v>
      </c>
      <c r="E1051" s="32">
        <v>39.5</v>
      </c>
      <c r="F1051" s="32" t="s">
        <v>173</v>
      </c>
      <c r="G1051" s="32">
        <v>5.7511999999999999</v>
      </c>
      <c r="H1051" s="32">
        <v>2.7511999999999999</v>
      </c>
      <c r="I1051" s="32" t="s">
        <v>174</v>
      </c>
      <c r="J1051" s="32">
        <v>1</v>
      </c>
      <c r="K1051" s="32" t="s">
        <v>183</v>
      </c>
      <c r="L1051" s="18">
        <f t="shared" si="16"/>
        <v>999999999</v>
      </c>
    </row>
    <row r="1052" spans="1:12" ht="15" customHeight="1" x14ac:dyDescent="0.25">
      <c r="A1052" s="32" t="s">
        <v>186</v>
      </c>
      <c r="B1052" s="32" t="s">
        <v>59</v>
      </c>
      <c r="C1052" s="32" t="s">
        <v>154</v>
      </c>
      <c r="D1052" s="32">
        <v>39.51</v>
      </c>
      <c r="E1052" s="32">
        <v>40</v>
      </c>
      <c r="F1052" s="32" t="s">
        <v>173</v>
      </c>
      <c r="G1052" s="32">
        <v>5.8</v>
      </c>
      <c r="H1052" s="32">
        <v>3.8</v>
      </c>
      <c r="I1052" s="32" t="s">
        <v>174</v>
      </c>
      <c r="J1052" s="32">
        <v>1</v>
      </c>
      <c r="K1052" s="32" t="s">
        <v>183</v>
      </c>
      <c r="L1052" s="18">
        <f t="shared" si="16"/>
        <v>999999999</v>
      </c>
    </row>
    <row r="1053" spans="1:12" ht="15" customHeight="1" x14ac:dyDescent="0.25">
      <c r="A1053" s="32" t="s">
        <v>186</v>
      </c>
      <c r="B1053" s="32" t="s">
        <v>59</v>
      </c>
      <c r="C1053" s="32" t="s">
        <v>154</v>
      </c>
      <c r="D1053" s="32">
        <v>40.01</v>
      </c>
      <c r="E1053" s="32">
        <v>40.5</v>
      </c>
      <c r="F1053" s="32" t="s">
        <v>173</v>
      </c>
      <c r="G1053" s="32">
        <v>5.8487999999999998</v>
      </c>
      <c r="H1053" s="32">
        <v>3.8488000000000002</v>
      </c>
      <c r="I1053" s="32" t="s">
        <v>174</v>
      </c>
      <c r="J1053" s="32">
        <v>1</v>
      </c>
      <c r="K1053" s="32" t="s">
        <v>183</v>
      </c>
      <c r="L1053" s="18">
        <f t="shared" si="16"/>
        <v>999999999</v>
      </c>
    </row>
    <row r="1054" spans="1:12" ht="15" customHeight="1" x14ac:dyDescent="0.25">
      <c r="A1054" s="32" t="s">
        <v>186</v>
      </c>
      <c r="B1054" s="32" t="s">
        <v>59</v>
      </c>
      <c r="C1054" s="32" t="s">
        <v>154</v>
      </c>
      <c r="D1054" s="32">
        <v>40.51</v>
      </c>
      <c r="E1054" s="32">
        <v>41</v>
      </c>
      <c r="F1054" s="32" t="s">
        <v>173</v>
      </c>
      <c r="G1054" s="32">
        <v>5.8975999999999997</v>
      </c>
      <c r="H1054" s="32">
        <v>1.8976</v>
      </c>
      <c r="I1054" s="32" t="s">
        <v>174</v>
      </c>
      <c r="J1054" s="32">
        <v>1</v>
      </c>
      <c r="K1054" s="32" t="s">
        <v>183</v>
      </c>
      <c r="L1054" s="18">
        <f t="shared" si="16"/>
        <v>999999999</v>
      </c>
    </row>
    <row r="1055" spans="1:12" ht="15" customHeight="1" x14ac:dyDescent="0.25">
      <c r="A1055" s="32" t="s">
        <v>186</v>
      </c>
      <c r="B1055" s="32" t="s">
        <v>59</v>
      </c>
      <c r="C1055" s="32" t="s">
        <v>154</v>
      </c>
      <c r="D1055" s="32">
        <v>41.01</v>
      </c>
      <c r="E1055" s="32">
        <v>41.5</v>
      </c>
      <c r="F1055" s="32" t="s">
        <v>173</v>
      </c>
      <c r="G1055" s="32">
        <v>5.9463999999999997</v>
      </c>
      <c r="H1055" s="32">
        <v>1.9463999999999999</v>
      </c>
      <c r="I1055" s="32" t="s">
        <v>174</v>
      </c>
      <c r="J1055" s="32">
        <v>1</v>
      </c>
      <c r="K1055" s="32" t="s">
        <v>183</v>
      </c>
      <c r="L1055" s="18">
        <f t="shared" si="16"/>
        <v>999999999</v>
      </c>
    </row>
    <row r="1056" spans="1:12" ht="15" customHeight="1" x14ac:dyDescent="0.25">
      <c r="A1056" s="32" t="s">
        <v>186</v>
      </c>
      <c r="B1056" s="32" t="s">
        <v>59</v>
      </c>
      <c r="C1056" s="32" t="s">
        <v>154</v>
      </c>
      <c r="D1056" s="32">
        <v>41.51</v>
      </c>
      <c r="E1056" s="32">
        <v>42</v>
      </c>
      <c r="F1056" s="32" t="s">
        <v>173</v>
      </c>
      <c r="G1056" s="32">
        <v>5.9951999999999996</v>
      </c>
      <c r="H1056" s="32">
        <v>1.9952000000000001</v>
      </c>
      <c r="I1056" s="32" t="s">
        <v>174</v>
      </c>
      <c r="J1056" s="32">
        <v>1</v>
      </c>
      <c r="K1056" s="32" t="s">
        <v>183</v>
      </c>
      <c r="L1056" s="18">
        <f t="shared" si="16"/>
        <v>999999999</v>
      </c>
    </row>
    <row r="1057" spans="1:12" ht="15" customHeight="1" x14ac:dyDescent="0.25">
      <c r="A1057" s="32" t="s">
        <v>186</v>
      </c>
      <c r="B1057" s="32" t="s">
        <v>59</v>
      </c>
      <c r="C1057" s="32" t="s">
        <v>154</v>
      </c>
      <c r="D1057" s="32">
        <v>42.01</v>
      </c>
      <c r="E1057" s="32">
        <v>42.5</v>
      </c>
      <c r="F1057" s="32" t="s">
        <v>173</v>
      </c>
      <c r="G1057" s="32">
        <v>7.0439999999999996</v>
      </c>
      <c r="H1057" s="32">
        <v>4.0439999999999996</v>
      </c>
      <c r="I1057" s="32" t="s">
        <v>174</v>
      </c>
      <c r="J1057" s="32">
        <v>1</v>
      </c>
      <c r="K1057" s="32" t="s">
        <v>183</v>
      </c>
      <c r="L1057" s="18">
        <f t="shared" si="16"/>
        <v>999999999</v>
      </c>
    </row>
    <row r="1058" spans="1:12" ht="15" customHeight="1" x14ac:dyDescent="0.25">
      <c r="A1058" s="32" t="s">
        <v>186</v>
      </c>
      <c r="B1058" s="32" t="s">
        <v>59</v>
      </c>
      <c r="C1058" s="32" t="s">
        <v>154</v>
      </c>
      <c r="D1058" s="32">
        <v>42.51</v>
      </c>
      <c r="E1058" s="32">
        <v>43</v>
      </c>
      <c r="F1058" s="32" t="s">
        <v>173</v>
      </c>
      <c r="G1058" s="32">
        <v>7.0928000000000004</v>
      </c>
      <c r="H1058" s="32">
        <v>2.0928</v>
      </c>
      <c r="I1058" s="32" t="s">
        <v>174</v>
      </c>
      <c r="J1058" s="32">
        <v>1</v>
      </c>
      <c r="K1058" s="32" t="s">
        <v>183</v>
      </c>
      <c r="L1058" s="18">
        <f t="shared" si="16"/>
        <v>999999999</v>
      </c>
    </row>
    <row r="1059" spans="1:12" ht="15" customHeight="1" x14ac:dyDescent="0.25">
      <c r="A1059" s="32" t="s">
        <v>186</v>
      </c>
      <c r="B1059" s="32" t="s">
        <v>59</v>
      </c>
      <c r="C1059" s="32" t="s">
        <v>154</v>
      </c>
      <c r="D1059" s="32">
        <v>43.01</v>
      </c>
      <c r="E1059" s="32">
        <v>43.5</v>
      </c>
      <c r="F1059" s="32" t="s">
        <v>173</v>
      </c>
      <c r="G1059" s="32">
        <v>7.1416000000000004</v>
      </c>
      <c r="H1059" s="32">
        <v>3.1415999999999999</v>
      </c>
      <c r="I1059" s="32" t="s">
        <v>174</v>
      </c>
      <c r="J1059" s="32">
        <v>1</v>
      </c>
      <c r="K1059" s="32" t="s">
        <v>183</v>
      </c>
      <c r="L1059" s="18">
        <f t="shared" si="16"/>
        <v>999999999</v>
      </c>
    </row>
    <row r="1060" spans="1:12" ht="15" customHeight="1" x14ac:dyDescent="0.25">
      <c r="A1060" s="32" t="s">
        <v>186</v>
      </c>
      <c r="B1060" s="32" t="s">
        <v>59</v>
      </c>
      <c r="C1060" s="32" t="s">
        <v>154</v>
      </c>
      <c r="D1060" s="32">
        <v>43.51</v>
      </c>
      <c r="E1060" s="32">
        <v>44</v>
      </c>
      <c r="F1060" s="32" t="s">
        <v>173</v>
      </c>
      <c r="G1060" s="32">
        <v>7.1904000000000003</v>
      </c>
      <c r="H1060" s="32">
        <v>4.1904000000000003</v>
      </c>
      <c r="I1060" s="32" t="s">
        <v>174</v>
      </c>
      <c r="J1060" s="32">
        <v>1</v>
      </c>
      <c r="K1060" s="32" t="s">
        <v>183</v>
      </c>
      <c r="L1060" s="18">
        <f t="shared" si="16"/>
        <v>999999999</v>
      </c>
    </row>
    <row r="1061" spans="1:12" ht="15" customHeight="1" x14ac:dyDescent="0.25">
      <c r="A1061" s="32" t="s">
        <v>186</v>
      </c>
      <c r="B1061" s="32" t="s">
        <v>59</v>
      </c>
      <c r="C1061" s="32" t="s">
        <v>154</v>
      </c>
      <c r="D1061" s="32">
        <v>44.01</v>
      </c>
      <c r="E1061" s="32">
        <v>44.5</v>
      </c>
      <c r="F1061" s="32" t="s">
        <v>173</v>
      </c>
      <c r="G1061" s="32">
        <v>7.2392000000000003</v>
      </c>
      <c r="H1061" s="32">
        <v>4.2392000000000003</v>
      </c>
      <c r="I1061" s="32" t="s">
        <v>174</v>
      </c>
      <c r="J1061" s="32">
        <v>1</v>
      </c>
      <c r="K1061" s="32" t="s">
        <v>183</v>
      </c>
      <c r="L1061" s="18">
        <f t="shared" si="16"/>
        <v>999999999</v>
      </c>
    </row>
    <row r="1062" spans="1:12" ht="15" customHeight="1" x14ac:dyDescent="0.25">
      <c r="A1062" s="32" t="s">
        <v>186</v>
      </c>
      <c r="B1062" s="32" t="s">
        <v>59</v>
      </c>
      <c r="C1062" s="32" t="s">
        <v>154</v>
      </c>
      <c r="D1062" s="32">
        <v>44.51</v>
      </c>
      <c r="E1062" s="32">
        <v>45</v>
      </c>
      <c r="F1062" s="32" t="s">
        <v>173</v>
      </c>
      <c r="G1062" s="32">
        <v>7.2880000000000003</v>
      </c>
      <c r="H1062" s="32">
        <v>2.2879999999999998</v>
      </c>
      <c r="I1062" s="32" t="s">
        <v>174</v>
      </c>
      <c r="J1062" s="32">
        <v>1</v>
      </c>
      <c r="K1062" s="32" t="s">
        <v>183</v>
      </c>
      <c r="L1062" s="18">
        <f t="shared" si="16"/>
        <v>999999999</v>
      </c>
    </row>
    <row r="1063" spans="1:12" ht="15" customHeight="1" x14ac:dyDescent="0.25">
      <c r="A1063" s="32" t="s">
        <v>186</v>
      </c>
      <c r="B1063" s="32" t="s">
        <v>59</v>
      </c>
      <c r="C1063" s="32" t="s">
        <v>154</v>
      </c>
      <c r="D1063" s="32">
        <v>45.01</v>
      </c>
      <c r="E1063" s="32">
        <v>45.5</v>
      </c>
      <c r="F1063" s="32" t="s">
        <v>173</v>
      </c>
      <c r="G1063" s="32">
        <v>7.3276000000000003</v>
      </c>
      <c r="H1063" s="32">
        <v>3.3275999999999999</v>
      </c>
      <c r="I1063" s="32" t="s">
        <v>174</v>
      </c>
      <c r="J1063" s="32">
        <v>1</v>
      </c>
      <c r="K1063" s="32" t="s">
        <v>183</v>
      </c>
      <c r="L1063" s="18">
        <f t="shared" si="16"/>
        <v>999999999</v>
      </c>
    </row>
    <row r="1064" spans="1:12" ht="15" customHeight="1" x14ac:dyDescent="0.25">
      <c r="A1064" s="32" t="s">
        <v>186</v>
      </c>
      <c r="B1064" s="32" t="s">
        <v>59</v>
      </c>
      <c r="C1064" s="32" t="s">
        <v>154</v>
      </c>
      <c r="D1064" s="32">
        <v>45.51</v>
      </c>
      <c r="E1064" s="32">
        <v>46</v>
      </c>
      <c r="F1064" s="32" t="s">
        <v>173</v>
      </c>
      <c r="G1064" s="32">
        <v>7.3672000000000004</v>
      </c>
      <c r="H1064" s="32">
        <v>3.3672</v>
      </c>
      <c r="I1064" s="32" t="s">
        <v>174</v>
      </c>
      <c r="J1064" s="32">
        <v>1</v>
      </c>
      <c r="K1064" s="32" t="s">
        <v>183</v>
      </c>
      <c r="L1064" s="18">
        <f t="shared" si="16"/>
        <v>999999999</v>
      </c>
    </row>
    <row r="1065" spans="1:12" ht="15" customHeight="1" x14ac:dyDescent="0.25">
      <c r="A1065" s="32" t="s">
        <v>186</v>
      </c>
      <c r="B1065" s="32" t="s">
        <v>59</v>
      </c>
      <c r="C1065" s="32" t="s">
        <v>154</v>
      </c>
      <c r="D1065" s="32">
        <v>46.01</v>
      </c>
      <c r="E1065" s="32">
        <v>46.5</v>
      </c>
      <c r="F1065" s="32" t="s">
        <v>173</v>
      </c>
      <c r="G1065" s="32">
        <v>7.4067999999999996</v>
      </c>
      <c r="H1065" s="32">
        <v>4.4067999999999996</v>
      </c>
      <c r="I1065" s="32" t="s">
        <v>174</v>
      </c>
      <c r="J1065" s="32">
        <v>1</v>
      </c>
      <c r="K1065" s="32" t="s">
        <v>183</v>
      </c>
      <c r="L1065" s="18">
        <f t="shared" si="16"/>
        <v>999999999</v>
      </c>
    </row>
    <row r="1066" spans="1:12" ht="15" customHeight="1" x14ac:dyDescent="0.25">
      <c r="A1066" s="32" t="s">
        <v>186</v>
      </c>
      <c r="B1066" s="32" t="s">
        <v>59</v>
      </c>
      <c r="C1066" s="32" t="s">
        <v>154</v>
      </c>
      <c r="D1066" s="32">
        <v>46.51</v>
      </c>
      <c r="E1066" s="32">
        <v>47</v>
      </c>
      <c r="F1066" s="32" t="s">
        <v>173</v>
      </c>
      <c r="G1066" s="32">
        <v>7.4463999999999997</v>
      </c>
      <c r="H1066" s="32">
        <v>3.4464000000000001</v>
      </c>
      <c r="I1066" s="32" t="s">
        <v>174</v>
      </c>
      <c r="J1066" s="32">
        <v>1</v>
      </c>
      <c r="K1066" s="32" t="s">
        <v>183</v>
      </c>
      <c r="L1066" s="18">
        <f t="shared" si="16"/>
        <v>999999999</v>
      </c>
    </row>
    <row r="1067" spans="1:12" ht="15" customHeight="1" x14ac:dyDescent="0.25">
      <c r="A1067" s="32" t="s">
        <v>186</v>
      </c>
      <c r="B1067" s="32" t="s">
        <v>59</v>
      </c>
      <c r="C1067" s="32" t="s">
        <v>154</v>
      </c>
      <c r="D1067" s="32">
        <v>47.01</v>
      </c>
      <c r="E1067" s="32">
        <v>47.5</v>
      </c>
      <c r="F1067" s="32" t="s">
        <v>173</v>
      </c>
      <c r="G1067" s="32">
        <v>7.4859999999999998</v>
      </c>
      <c r="H1067" s="32">
        <v>4.4859999999999998</v>
      </c>
      <c r="I1067" s="32" t="s">
        <v>174</v>
      </c>
      <c r="J1067" s="32">
        <v>1</v>
      </c>
      <c r="K1067" s="32" t="s">
        <v>183</v>
      </c>
      <c r="L1067" s="18">
        <f t="shared" si="16"/>
        <v>999999999</v>
      </c>
    </row>
    <row r="1068" spans="1:12" ht="15" customHeight="1" x14ac:dyDescent="0.25">
      <c r="A1068" s="32" t="s">
        <v>186</v>
      </c>
      <c r="B1068" s="32" t="s">
        <v>59</v>
      </c>
      <c r="C1068" s="32" t="s">
        <v>154</v>
      </c>
      <c r="D1068" s="32">
        <v>47.51</v>
      </c>
      <c r="E1068" s="32">
        <v>48</v>
      </c>
      <c r="F1068" s="32" t="s">
        <v>173</v>
      </c>
      <c r="G1068" s="32">
        <v>7.5255999999999998</v>
      </c>
      <c r="H1068" s="32">
        <v>4.5255999999999998</v>
      </c>
      <c r="I1068" s="32" t="s">
        <v>174</v>
      </c>
      <c r="J1068" s="32">
        <v>1</v>
      </c>
      <c r="K1068" s="32" t="s">
        <v>183</v>
      </c>
      <c r="L1068" s="18">
        <f t="shared" si="16"/>
        <v>999999999</v>
      </c>
    </row>
    <row r="1069" spans="1:12" ht="15" customHeight="1" x14ac:dyDescent="0.25">
      <c r="A1069" s="32" t="s">
        <v>186</v>
      </c>
      <c r="B1069" s="32" t="s">
        <v>59</v>
      </c>
      <c r="C1069" s="32" t="s">
        <v>154</v>
      </c>
      <c r="D1069" s="32">
        <v>48.01</v>
      </c>
      <c r="E1069" s="32">
        <v>48.5</v>
      </c>
      <c r="F1069" s="32" t="s">
        <v>173</v>
      </c>
      <c r="G1069" s="32">
        <v>7.5651999999999999</v>
      </c>
      <c r="H1069" s="32">
        <v>2.5651999999999999</v>
      </c>
      <c r="I1069" s="32" t="s">
        <v>174</v>
      </c>
      <c r="J1069" s="32">
        <v>1</v>
      </c>
      <c r="K1069" s="32" t="s">
        <v>183</v>
      </c>
      <c r="L1069" s="18">
        <f t="shared" si="16"/>
        <v>999999999</v>
      </c>
    </row>
    <row r="1070" spans="1:12" ht="15" customHeight="1" x14ac:dyDescent="0.25">
      <c r="A1070" s="32" t="s">
        <v>186</v>
      </c>
      <c r="B1070" s="32" t="s">
        <v>59</v>
      </c>
      <c r="C1070" s="32" t="s">
        <v>154</v>
      </c>
      <c r="D1070" s="32">
        <v>48.51</v>
      </c>
      <c r="E1070" s="32">
        <v>49</v>
      </c>
      <c r="F1070" s="32" t="s">
        <v>173</v>
      </c>
      <c r="G1070" s="32">
        <v>7.6048</v>
      </c>
      <c r="H1070" s="32">
        <v>3.6048</v>
      </c>
      <c r="I1070" s="32" t="s">
        <v>174</v>
      </c>
      <c r="J1070" s="32">
        <v>1</v>
      </c>
      <c r="K1070" s="32" t="s">
        <v>183</v>
      </c>
      <c r="L1070" s="18">
        <f t="shared" si="16"/>
        <v>999999999</v>
      </c>
    </row>
    <row r="1071" spans="1:12" ht="15" customHeight="1" x14ac:dyDescent="0.25">
      <c r="A1071" s="32" t="s">
        <v>186</v>
      </c>
      <c r="B1071" s="32" t="s">
        <v>59</v>
      </c>
      <c r="C1071" s="32" t="s">
        <v>154</v>
      </c>
      <c r="D1071" s="32">
        <v>49.01</v>
      </c>
      <c r="E1071" s="32">
        <v>49.5</v>
      </c>
      <c r="F1071" s="32" t="s">
        <v>173</v>
      </c>
      <c r="G1071" s="32">
        <v>7.6444000000000001</v>
      </c>
      <c r="H1071" s="32">
        <v>2.6444000000000001</v>
      </c>
      <c r="I1071" s="32" t="s">
        <v>174</v>
      </c>
      <c r="J1071" s="32">
        <v>1</v>
      </c>
      <c r="K1071" s="32" t="s">
        <v>183</v>
      </c>
      <c r="L1071" s="18">
        <f t="shared" si="16"/>
        <v>999999999</v>
      </c>
    </row>
    <row r="1072" spans="1:12" ht="15" customHeight="1" x14ac:dyDescent="0.25">
      <c r="A1072" s="32" t="s">
        <v>186</v>
      </c>
      <c r="B1072" s="32" t="s">
        <v>59</v>
      </c>
      <c r="C1072" s="32" t="s">
        <v>154</v>
      </c>
      <c r="D1072" s="32">
        <v>49.51</v>
      </c>
      <c r="E1072" s="32">
        <v>50</v>
      </c>
      <c r="F1072" s="32" t="s">
        <v>173</v>
      </c>
      <c r="G1072" s="32">
        <v>7.6840000000000002</v>
      </c>
      <c r="H1072" s="32">
        <v>4.6840000000000002</v>
      </c>
      <c r="I1072" s="32" t="s">
        <v>174</v>
      </c>
      <c r="J1072" s="32">
        <v>1</v>
      </c>
      <c r="K1072" s="32" t="s">
        <v>183</v>
      </c>
      <c r="L1072" s="18">
        <f t="shared" si="16"/>
        <v>999999999</v>
      </c>
    </row>
    <row r="1073" spans="1:12" ht="15" customHeight="1" x14ac:dyDescent="0.25">
      <c r="A1073" s="32" t="s">
        <v>186</v>
      </c>
      <c r="B1073" s="32" t="s">
        <v>59</v>
      </c>
      <c r="C1073" s="32" t="s">
        <v>154</v>
      </c>
      <c r="D1073" s="32">
        <v>50.01</v>
      </c>
      <c r="E1073" s="32">
        <v>50.5</v>
      </c>
      <c r="F1073" s="32" t="s">
        <v>173</v>
      </c>
      <c r="G1073" s="32">
        <v>7.7236000000000002</v>
      </c>
      <c r="H1073" s="32">
        <v>4.7236000000000002</v>
      </c>
      <c r="I1073" s="32" t="s">
        <v>174</v>
      </c>
      <c r="J1073" s="32">
        <v>1</v>
      </c>
      <c r="K1073" s="32" t="s">
        <v>183</v>
      </c>
      <c r="L1073" s="18">
        <f t="shared" si="16"/>
        <v>999999999</v>
      </c>
    </row>
    <row r="1074" spans="1:12" ht="15" customHeight="1" x14ac:dyDescent="0.25">
      <c r="A1074" s="32" t="s">
        <v>186</v>
      </c>
      <c r="B1074" s="32" t="s">
        <v>59</v>
      </c>
      <c r="C1074" s="32" t="s">
        <v>154</v>
      </c>
      <c r="D1074" s="32">
        <v>50.51</v>
      </c>
      <c r="E1074" s="32">
        <v>51</v>
      </c>
      <c r="F1074" s="32" t="s">
        <v>173</v>
      </c>
      <c r="G1074" s="32">
        <v>7.7632000000000003</v>
      </c>
      <c r="H1074" s="32">
        <v>3.7631999999999999</v>
      </c>
      <c r="I1074" s="32" t="s">
        <v>174</v>
      </c>
      <c r="J1074" s="32">
        <v>1</v>
      </c>
      <c r="K1074" s="32" t="s">
        <v>183</v>
      </c>
      <c r="L1074" s="18">
        <f t="shared" si="16"/>
        <v>999999999</v>
      </c>
    </row>
    <row r="1075" spans="1:12" ht="15" customHeight="1" x14ac:dyDescent="0.25">
      <c r="A1075" s="32" t="s">
        <v>186</v>
      </c>
      <c r="B1075" s="32" t="s">
        <v>59</v>
      </c>
      <c r="C1075" s="32" t="s">
        <v>154</v>
      </c>
      <c r="D1075" s="32">
        <v>51.01</v>
      </c>
      <c r="E1075" s="32">
        <v>51.5</v>
      </c>
      <c r="F1075" s="32" t="s">
        <v>173</v>
      </c>
      <c r="G1075" s="32">
        <v>7.8028000000000004</v>
      </c>
      <c r="H1075" s="32">
        <v>4.8028000000000004</v>
      </c>
      <c r="I1075" s="32" t="s">
        <v>174</v>
      </c>
      <c r="J1075" s="32">
        <v>1</v>
      </c>
      <c r="K1075" s="32" t="s">
        <v>183</v>
      </c>
      <c r="L1075" s="18">
        <f t="shared" si="16"/>
        <v>999999999</v>
      </c>
    </row>
    <row r="1076" spans="1:12" ht="15" customHeight="1" x14ac:dyDescent="0.25">
      <c r="A1076" s="32" t="s">
        <v>186</v>
      </c>
      <c r="B1076" s="32" t="s">
        <v>59</v>
      </c>
      <c r="C1076" s="32" t="s">
        <v>154</v>
      </c>
      <c r="D1076" s="32">
        <v>51.51</v>
      </c>
      <c r="E1076" s="32">
        <v>52</v>
      </c>
      <c r="F1076" s="32" t="s">
        <v>173</v>
      </c>
      <c r="G1076" s="32">
        <v>7.8423999999999996</v>
      </c>
      <c r="H1076" s="32">
        <v>4.8423999999999996</v>
      </c>
      <c r="I1076" s="32" t="s">
        <v>174</v>
      </c>
      <c r="J1076" s="32">
        <v>1</v>
      </c>
      <c r="K1076" s="32" t="s">
        <v>183</v>
      </c>
      <c r="L1076" s="18">
        <f t="shared" si="16"/>
        <v>999999999</v>
      </c>
    </row>
    <row r="1077" spans="1:12" ht="15" customHeight="1" x14ac:dyDescent="0.25">
      <c r="A1077" s="32" t="s">
        <v>186</v>
      </c>
      <c r="B1077" s="32" t="s">
        <v>59</v>
      </c>
      <c r="C1077" s="32" t="s">
        <v>154</v>
      </c>
      <c r="D1077" s="32">
        <v>52.01</v>
      </c>
      <c r="E1077" s="32">
        <v>52.5</v>
      </c>
      <c r="F1077" s="32" t="s">
        <v>173</v>
      </c>
      <c r="G1077" s="32">
        <v>7.8819999999999997</v>
      </c>
      <c r="H1077" s="32">
        <v>4.8819999999999997</v>
      </c>
      <c r="I1077" s="32" t="s">
        <v>174</v>
      </c>
      <c r="J1077" s="32">
        <v>1</v>
      </c>
      <c r="K1077" s="32" t="s">
        <v>183</v>
      </c>
      <c r="L1077" s="18">
        <f t="shared" si="16"/>
        <v>999999999</v>
      </c>
    </row>
    <row r="1078" spans="1:12" ht="15" customHeight="1" x14ac:dyDescent="0.25">
      <c r="A1078" s="32" t="s">
        <v>186</v>
      </c>
      <c r="B1078" s="32" t="s">
        <v>59</v>
      </c>
      <c r="C1078" s="32" t="s">
        <v>154</v>
      </c>
      <c r="D1078" s="32">
        <v>52.51</v>
      </c>
      <c r="E1078" s="32">
        <v>53</v>
      </c>
      <c r="F1078" s="32" t="s">
        <v>173</v>
      </c>
      <c r="G1078" s="32">
        <v>7.9215999999999998</v>
      </c>
      <c r="H1078" s="32">
        <v>2.9216000000000002</v>
      </c>
      <c r="I1078" s="32" t="s">
        <v>174</v>
      </c>
      <c r="J1078" s="32">
        <v>1</v>
      </c>
      <c r="K1078" s="32" t="s">
        <v>183</v>
      </c>
      <c r="L1078" s="18">
        <f t="shared" si="16"/>
        <v>999999999</v>
      </c>
    </row>
    <row r="1079" spans="1:12" ht="15" customHeight="1" x14ac:dyDescent="0.25">
      <c r="A1079" s="32" t="s">
        <v>186</v>
      </c>
      <c r="B1079" s="32" t="s">
        <v>59</v>
      </c>
      <c r="C1079" s="32" t="s">
        <v>154</v>
      </c>
      <c r="D1079" s="32">
        <v>53.01</v>
      </c>
      <c r="E1079" s="32">
        <v>53.5</v>
      </c>
      <c r="F1079" s="32" t="s">
        <v>173</v>
      </c>
      <c r="G1079" s="32">
        <v>7.9611999999999998</v>
      </c>
      <c r="H1079" s="32">
        <v>4.9611999999999998</v>
      </c>
      <c r="I1079" s="32" t="s">
        <v>174</v>
      </c>
      <c r="J1079" s="32">
        <v>1</v>
      </c>
      <c r="K1079" s="32" t="s">
        <v>183</v>
      </c>
      <c r="L1079" s="18">
        <f t="shared" si="16"/>
        <v>999999999</v>
      </c>
    </row>
    <row r="1080" spans="1:12" ht="15" customHeight="1" x14ac:dyDescent="0.25">
      <c r="A1080" s="32" t="s">
        <v>186</v>
      </c>
      <c r="B1080" s="32" t="s">
        <v>59</v>
      </c>
      <c r="C1080" s="32" t="s">
        <v>154</v>
      </c>
      <c r="D1080" s="32">
        <v>53.51</v>
      </c>
      <c r="E1080" s="32">
        <v>54</v>
      </c>
      <c r="F1080" s="32" t="s">
        <v>173</v>
      </c>
      <c r="G1080" s="32">
        <v>9.0007999999999999</v>
      </c>
      <c r="H1080" s="32">
        <v>5.0007999999999999</v>
      </c>
      <c r="I1080" s="32" t="s">
        <v>174</v>
      </c>
      <c r="J1080" s="32">
        <v>1</v>
      </c>
      <c r="K1080" s="32" t="s">
        <v>183</v>
      </c>
      <c r="L1080" s="18">
        <f t="shared" si="16"/>
        <v>999999999</v>
      </c>
    </row>
    <row r="1081" spans="1:12" ht="15" customHeight="1" x14ac:dyDescent="0.25">
      <c r="A1081" s="32" t="s">
        <v>186</v>
      </c>
      <c r="B1081" s="32" t="s">
        <v>59</v>
      </c>
      <c r="C1081" s="32" t="s">
        <v>154</v>
      </c>
      <c r="D1081" s="32">
        <v>54.01</v>
      </c>
      <c r="E1081" s="32">
        <v>54.5</v>
      </c>
      <c r="F1081" s="32" t="s">
        <v>173</v>
      </c>
      <c r="G1081" s="32">
        <v>9.0404</v>
      </c>
      <c r="H1081" s="32">
        <v>3.0404</v>
      </c>
      <c r="I1081" s="32" t="s">
        <v>174</v>
      </c>
      <c r="J1081" s="32">
        <v>1</v>
      </c>
      <c r="K1081" s="32" t="s">
        <v>183</v>
      </c>
      <c r="L1081" s="18">
        <f t="shared" si="16"/>
        <v>999999999</v>
      </c>
    </row>
    <row r="1082" spans="1:12" ht="15" customHeight="1" x14ac:dyDescent="0.25">
      <c r="A1082" s="32" t="s">
        <v>186</v>
      </c>
      <c r="B1082" s="32" t="s">
        <v>59</v>
      </c>
      <c r="C1082" s="32" t="s">
        <v>154</v>
      </c>
      <c r="D1082" s="32">
        <v>54.51</v>
      </c>
      <c r="E1082" s="32">
        <v>55</v>
      </c>
      <c r="F1082" s="32" t="s">
        <v>173</v>
      </c>
      <c r="G1082" s="32">
        <v>9.08</v>
      </c>
      <c r="H1082" s="32">
        <v>6.08</v>
      </c>
      <c r="I1082" s="32" t="s">
        <v>174</v>
      </c>
      <c r="J1082" s="32">
        <v>1</v>
      </c>
      <c r="K1082" s="32" t="s">
        <v>183</v>
      </c>
      <c r="L1082" s="18">
        <f t="shared" si="16"/>
        <v>999999999</v>
      </c>
    </row>
    <row r="1083" spans="1:12" ht="15" customHeight="1" x14ac:dyDescent="0.25">
      <c r="A1083" s="32" t="s">
        <v>186</v>
      </c>
      <c r="B1083" s="32" t="s">
        <v>59</v>
      </c>
      <c r="C1083" s="32" t="s">
        <v>154</v>
      </c>
      <c r="D1083" s="32">
        <v>55.01</v>
      </c>
      <c r="E1083" s="32">
        <v>55.5</v>
      </c>
      <c r="F1083" s="32" t="s">
        <v>173</v>
      </c>
      <c r="G1083" s="32">
        <v>9.1196000000000002</v>
      </c>
      <c r="H1083" s="32">
        <v>5.1196000000000002</v>
      </c>
      <c r="I1083" s="32" t="s">
        <v>174</v>
      </c>
      <c r="J1083" s="32">
        <v>1</v>
      </c>
      <c r="K1083" s="32" t="s">
        <v>183</v>
      </c>
      <c r="L1083" s="18">
        <f t="shared" si="16"/>
        <v>999999999</v>
      </c>
    </row>
    <row r="1084" spans="1:12" ht="15" customHeight="1" x14ac:dyDescent="0.25">
      <c r="A1084" s="32" t="s">
        <v>186</v>
      </c>
      <c r="B1084" s="32" t="s">
        <v>59</v>
      </c>
      <c r="C1084" s="32" t="s">
        <v>154</v>
      </c>
      <c r="D1084" s="32">
        <v>55.51</v>
      </c>
      <c r="E1084" s="32">
        <v>56</v>
      </c>
      <c r="F1084" s="32" t="s">
        <v>173</v>
      </c>
      <c r="G1084" s="32">
        <v>9.1592000000000002</v>
      </c>
      <c r="H1084" s="32">
        <v>2.1591999999999998</v>
      </c>
      <c r="I1084" s="32" t="s">
        <v>174</v>
      </c>
      <c r="J1084" s="32">
        <v>1</v>
      </c>
      <c r="K1084" s="32" t="s">
        <v>183</v>
      </c>
      <c r="L1084" s="18">
        <f t="shared" si="16"/>
        <v>999999999</v>
      </c>
    </row>
    <row r="1085" spans="1:12" ht="15" customHeight="1" x14ac:dyDescent="0.25">
      <c r="A1085" s="32" t="s">
        <v>186</v>
      </c>
      <c r="B1085" s="32" t="s">
        <v>59</v>
      </c>
      <c r="C1085" s="32" t="s">
        <v>154</v>
      </c>
      <c r="D1085" s="32">
        <v>56.01</v>
      </c>
      <c r="E1085" s="32">
        <v>56.5</v>
      </c>
      <c r="F1085" s="32" t="s">
        <v>173</v>
      </c>
      <c r="G1085" s="32">
        <v>9.1988000000000003</v>
      </c>
      <c r="H1085" s="32">
        <v>6.1988000000000003</v>
      </c>
      <c r="I1085" s="32" t="s">
        <v>174</v>
      </c>
      <c r="J1085" s="32">
        <v>1</v>
      </c>
      <c r="K1085" s="32" t="s">
        <v>183</v>
      </c>
      <c r="L1085" s="18">
        <f t="shared" si="16"/>
        <v>999999999</v>
      </c>
    </row>
    <row r="1086" spans="1:12" ht="15" customHeight="1" x14ac:dyDescent="0.25">
      <c r="A1086" s="32" t="s">
        <v>186</v>
      </c>
      <c r="B1086" s="32" t="s">
        <v>59</v>
      </c>
      <c r="C1086" s="32" t="s">
        <v>154</v>
      </c>
      <c r="D1086" s="32">
        <v>56.51</v>
      </c>
      <c r="E1086" s="32">
        <v>57</v>
      </c>
      <c r="F1086" s="32" t="s">
        <v>173</v>
      </c>
      <c r="G1086" s="32">
        <v>9.2384000000000004</v>
      </c>
      <c r="H1086" s="32">
        <v>6.2384000000000004</v>
      </c>
      <c r="I1086" s="32" t="s">
        <v>174</v>
      </c>
      <c r="J1086" s="32">
        <v>1</v>
      </c>
      <c r="K1086" s="32" t="s">
        <v>183</v>
      </c>
      <c r="L1086" s="18">
        <f t="shared" si="16"/>
        <v>999999999</v>
      </c>
    </row>
    <row r="1087" spans="1:12" ht="15" customHeight="1" x14ac:dyDescent="0.25">
      <c r="A1087" s="32" t="s">
        <v>186</v>
      </c>
      <c r="B1087" s="32" t="s">
        <v>59</v>
      </c>
      <c r="C1087" s="32" t="s">
        <v>154</v>
      </c>
      <c r="D1087" s="32">
        <v>57.01</v>
      </c>
      <c r="E1087" s="32">
        <v>57.5</v>
      </c>
      <c r="F1087" s="32" t="s">
        <v>173</v>
      </c>
      <c r="G1087" s="32">
        <v>9.2780000000000005</v>
      </c>
      <c r="H1087" s="32">
        <v>6.2779999999999996</v>
      </c>
      <c r="I1087" s="32" t="s">
        <v>174</v>
      </c>
      <c r="J1087" s="32">
        <v>1</v>
      </c>
      <c r="K1087" s="32" t="s">
        <v>183</v>
      </c>
      <c r="L1087" s="18">
        <f t="shared" si="16"/>
        <v>999999999</v>
      </c>
    </row>
    <row r="1088" spans="1:12" ht="15" customHeight="1" x14ac:dyDescent="0.25">
      <c r="A1088" s="32" t="s">
        <v>186</v>
      </c>
      <c r="B1088" s="32" t="s">
        <v>59</v>
      </c>
      <c r="C1088" s="32" t="s">
        <v>154</v>
      </c>
      <c r="D1088" s="32">
        <v>57.51</v>
      </c>
      <c r="E1088" s="32">
        <v>58</v>
      </c>
      <c r="F1088" s="32" t="s">
        <v>173</v>
      </c>
      <c r="G1088" s="32">
        <v>9.3176000000000005</v>
      </c>
      <c r="H1088" s="32">
        <v>3.3176000000000001</v>
      </c>
      <c r="I1088" s="32" t="s">
        <v>174</v>
      </c>
      <c r="J1088" s="32">
        <v>1</v>
      </c>
      <c r="K1088" s="32" t="s">
        <v>183</v>
      </c>
      <c r="L1088" s="18">
        <f t="shared" si="16"/>
        <v>999999999</v>
      </c>
    </row>
    <row r="1089" spans="1:12" ht="15" customHeight="1" x14ac:dyDescent="0.25">
      <c r="A1089" s="32" t="s">
        <v>186</v>
      </c>
      <c r="B1089" s="32" t="s">
        <v>59</v>
      </c>
      <c r="C1089" s="32" t="s">
        <v>154</v>
      </c>
      <c r="D1089" s="32">
        <v>58.01</v>
      </c>
      <c r="E1089" s="32">
        <v>58.5</v>
      </c>
      <c r="F1089" s="32" t="s">
        <v>173</v>
      </c>
      <c r="G1089" s="32">
        <v>9.3572000000000006</v>
      </c>
      <c r="H1089" s="32">
        <v>4.3571999999999997</v>
      </c>
      <c r="I1089" s="32" t="s">
        <v>174</v>
      </c>
      <c r="J1089" s="32">
        <v>1</v>
      </c>
      <c r="K1089" s="32" t="s">
        <v>183</v>
      </c>
      <c r="L1089" s="18">
        <f t="shared" si="16"/>
        <v>999999999</v>
      </c>
    </row>
    <row r="1090" spans="1:12" ht="15" customHeight="1" x14ac:dyDescent="0.25">
      <c r="A1090" s="32" t="s">
        <v>186</v>
      </c>
      <c r="B1090" s="32" t="s">
        <v>59</v>
      </c>
      <c r="C1090" s="32" t="s">
        <v>154</v>
      </c>
      <c r="D1090" s="32">
        <v>58.51</v>
      </c>
      <c r="E1090" s="32">
        <v>59</v>
      </c>
      <c r="F1090" s="32" t="s">
        <v>173</v>
      </c>
      <c r="G1090" s="32">
        <v>9.3968000000000007</v>
      </c>
      <c r="H1090" s="32">
        <v>5.3967999999999998</v>
      </c>
      <c r="I1090" s="32" t="s">
        <v>174</v>
      </c>
      <c r="J1090" s="32">
        <v>1</v>
      </c>
      <c r="K1090" s="32" t="s">
        <v>183</v>
      </c>
      <c r="L1090" s="18">
        <f t="shared" ref="L1090:L1153" si="17">IF(AND(B1090=Quote_Port,D1090&lt;=Quote_Weight,Quote_Weight&lt;=E1090,OR(Quote_2Day="No",J1090&lt;=2)),MAX(G1090,Quote_Weight*H1090)*Quote_USDINR,999999999)</f>
        <v>999999999</v>
      </c>
    </row>
    <row r="1091" spans="1:12" ht="15" customHeight="1" x14ac:dyDescent="0.25">
      <c r="A1091" s="32" t="s">
        <v>186</v>
      </c>
      <c r="B1091" s="32" t="s">
        <v>59</v>
      </c>
      <c r="C1091" s="32" t="s">
        <v>154</v>
      </c>
      <c r="D1091" s="32">
        <v>59.01</v>
      </c>
      <c r="E1091" s="32">
        <v>59.5</v>
      </c>
      <c r="F1091" s="32" t="s">
        <v>173</v>
      </c>
      <c r="G1091" s="32">
        <v>9.4364000000000008</v>
      </c>
      <c r="H1091" s="32">
        <v>5.4363999999999999</v>
      </c>
      <c r="I1091" s="32" t="s">
        <v>174</v>
      </c>
      <c r="J1091" s="32">
        <v>1</v>
      </c>
      <c r="K1091" s="32" t="s">
        <v>183</v>
      </c>
      <c r="L1091" s="18">
        <f t="shared" si="17"/>
        <v>999999999</v>
      </c>
    </row>
    <row r="1092" spans="1:12" ht="15" customHeight="1" x14ac:dyDescent="0.25">
      <c r="A1092" s="32" t="s">
        <v>186</v>
      </c>
      <c r="B1092" s="32" t="s">
        <v>59</v>
      </c>
      <c r="C1092" s="32" t="s">
        <v>154</v>
      </c>
      <c r="D1092" s="32">
        <v>59.51</v>
      </c>
      <c r="E1092" s="32">
        <v>60</v>
      </c>
      <c r="F1092" s="32" t="s">
        <v>173</v>
      </c>
      <c r="G1092" s="32">
        <v>9.4760000000000009</v>
      </c>
      <c r="H1092" s="32">
        <v>5.476</v>
      </c>
      <c r="I1092" s="32" t="s">
        <v>174</v>
      </c>
      <c r="J1092" s="32">
        <v>1</v>
      </c>
      <c r="K1092" s="32" t="s">
        <v>183</v>
      </c>
      <c r="L1092" s="18">
        <f t="shared" si="17"/>
        <v>999999999</v>
      </c>
    </row>
    <row r="1093" spans="1:12" ht="15" customHeight="1" x14ac:dyDescent="0.25">
      <c r="A1093" s="32" t="s">
        <v>186</v>
      </c>
      <c r="B1093" s="32" t="s">
        <v>59</v>
      </c>
      <c r="C1093" s="32" t="s">
        <v>154</v>
      </c>
      <c r="D1093" s="32">
        <v>60.01</v>
      </c>
      <c r="E1093" s="32">
        <v>60.5</v>
      </c>
      <c r="F1093" s="32" t="s">
        <v>173</v>
      </c>
      <c r="G1093" s="32">
        <v>9.5155999999999992</v>
      </c>
      <c r="H1093" s="32">
        <v>6.5156000000000001</v>
      </c>
      <c r="I1093" s="32" t="s">
        <v>174</v>
      </c>
      <c r="J1093" s="32">
        <v>1</v>
      </c>
      <c r="K1093" s="32" t="s">
        <v>183</v>
      </c>
      <c r="L1093" s="18">
        <f t="shared" si="17"/>
        <v>999999999</v>
      </c>
    </row>
    <row r="1094" spans="1:12" ht="15" customHeight="1" x14ac:dyDescent="0.25">
      <c r="A1094" s="32" t="s">
        <v>186</v>
      </c>
      <c r="B1094" s="32" t="s">
        <v>59</v>
      </c>
      <c r="C1094" s="32" t="s">
        <v>154</v>
      </c>
      <c r="D1094" s="32">
        <v>60.51</v>
      </c>
      <c r="E1094" s="32">
        <v>61</v>
      </c>
      <c r="F1094" s="32" t="s">
        <v>173</v>
      </c>
      <c r="G1094" s="32">
        <v>9.5551999999999992</v>
      </c>
      <c r="H1094" s="32">
        <v>6.5552000000000001</v>
      </c>
      <c r="I1094" s="32" t="s">
        <v>174</v>
      </c>
      <c r="J1094" s="32">
        <v>1</v>
      </c>
      <c r="K1094" s="32" t="s">
        <v>183</v>
      </c>
      <c r="L1094" s="18">
        <f t="shared" si="17"/>
        <v>999999999</v>
      </c>
    </row>
    <row r="1095" spans="1:12" ht="15" customHeight="1" x14ac:dyDescent="0.25">
      <c r="A1095" s="32" t="s">
        <v>186</v>
      </c>
      <c r="B1095" s="32" t="s">
        <v>59</v>
      </c>
      <c r="C1095" s="32" t="s">
        <v>154</v>
      </c>
      <c r="D1095" s="32">
        <v>61.01</v>
      </c>
      <c r="E1095" s="32">
        <v>61.5</v>
      </c>
      <c r="F1095" s="32" t="s">
        <v>173</v>
      </c>
      <c r="G1095" s="32">
        <v>9.5947999999999993</v>
      </c>
      <c r="H1095" s="32">
        <v>6.5948000000000002</v>
      </c>
      <c r="I1095" s="32" t="s">
        <v>174</v>
      </c>
      <c r="J1095" s="32">
        <v>1</v>
      </c>
      <c r="K1095" s="32" t="s">
        <v>183</v>
      </c>
      <c r="L1095" s="18">
        <f t="shared" si="17"/>
        <v>999999999</v>
      </c>
    </row>
    <row r="1096" spans="1:12" ht="15" customHeight="1" x14ac:dyDescent="0.25">
      <c r="A1096" s="32" t="s">
        <v>186</v>
      </c>
      <c r="B1096" s="32" t="s">
        <v>59</v>
      </c>
      <c r="C1096" s="32" t="s">
        <v>154</v>
      </c>
      <c r="D1096" s="32">
        <v>61.51</v>
      </c>
      <c r="E1096" s="32">
        <v>62</v>
      </c>
      <c r="F1096" s="32" t="s">
        <v>173</v>
      </c>
      <c r="G1096" s="32">
        <v>9.6343999999999994</v>
      </c>
      <c r="H1096" s="32">
        <v>5.6344000000000003</v>
      </c>
      <c r="I1096" s="32" t="s">
        <v>174</v>
      </c>
      <c r="J1096" s="32">
        <v>1</v>
      </c>
      <c r="K1096" s="32" t="s">
        <v>183</v>
      </c>
      <c r="L1096" s="18">
        <f t="shared" si="17"/>
        <v>999999999</v>
      </c>
    </row>
    <row r="1097" spans="1:12" ht="15" customHeight="1" x14ac:dyDescent="0.25">
      <c r="A1097" s="32" t="s">
        <v>186</v>
      </c>
      <c r="B1097" s="32" t="s">
        <v>59</v>
      </c>
      <c r="C1097" s="32" t="s">
        <v>154</v>
      </c>
      <c r="D1097" s="32">
        <v>62.01</v>
      </c>
      <c r="E1097" s="32">
        <v>62.5</v>
      </c>
      <c r="F1097" s="32" t="s">
        <v>173</v>
      </c>
      <c r="G1097" s="32">
        <v>9.6739999999999995</v>
      </c>
      <c r="H1097" s="32">
        <v>5.6740000000000004</v>
      </c>
      <c r="I1097" s="32" t="s">
        <v>174</v>
      </c>
      <c r="J1097" s="32">
        <v>1</v>
      </c>
      <c r="K1097" s="32" t="s">
        <v>183</v>
      </c>
      <c r="L1097" s="18">
        <f t="shared" si="17"/>
        <v>999999999</v>
      </c>
    </row>
    <row r="1098" spans="1:12" ht="15" customHeight="1" x14ac:dyDescent="0.25">
      <c r="A1098" s="32" t="s">
        <v>186</v>
      </c>
      <c r="B1098" s="32" t="s">
        <v>59</v>
      </c>
      <c r="C1098" s="32" t="s">
        <v>154</v>
      </c>
      <c r="D1098" s="32">
        <v>62.51</v>
      </c>
      <c r="E1098" s="32">
        <v>63</v>
      </c>
      <c r="F1098" s="32" t="s">
        <v>173</v>
      </c>
      <c r="G1098" s="32">
        <v>9.7135999999999996</v>
      </c>
      <c r="H1098" s="32">
        <v>4.7135999999999996</v>
      </c>
      <c r="I1098" s="32" t="s">
        <v>174</v>
      </c>
      <c r="J1098" s="32">
        <v>1</v>
      </c>
      <c r="K1098" s="32" t="s">
        <v>183</v>
      </c>
      <c r="L1098" s="18">
        <f t="shared" si="17"/>
        <v>999999999</v>
      </c>
    </row>
    <row r="1099" spans="1:12" ht="15" customHeight="1" x14ac:dyDescent="0.25">
      <c r="A1099" s="32" t="s">
        <v>186</v>
      </c>
      <c r="B1099" s="32" t="s">
        <v>59</v>
      </c>
      <c r="C1099" s="32" t="s">
        <v>154</v>
      </c>
      <c r="D1099" s="32">
        <v>63.01</v>
      </c>
      <c r="E1099" s="32">
        <v>63.5</v>
      </c>
      <c r="F1099" s="32" t="s">
        <v>173</v>
      </c>
      <c r="G1099" s="32">
        <v>9.7531999999999996</v>
      </c>
      <c r="H1099" s="32">
        <v>3.7532000000000001</v>
      </c>
      <c r="I1099" s="32" t="s">
        <v>174</v>
      </c>
      <c r="J1099" s="32">
        <v>1</v>
      </c>
      <c r="K1099" s="32" t="s">
        <v>183</v>
      </c>
      <c r="L1099" s="18">
        <f t="shared" si="17"/>
        <v>999999999</v>
      </c>
    </row>
    <row r="1100" spans="1:12" ht="15" customHeight="1" x14ac:dyDescent="0.25">
      <c r="A1100" s="32" t="s">
        <v>186</v>
      </c>
      <c r="B1100" s="32" t="s">
        <v>59</v>
      </c>
      <c r="C1100" s="32" t="s">
        <v>154</v>
      </c>
      <c r="D1100" s="32">
        <v>63.51</v>
      </c>
      <c r="E1100" s="32">
        <v>64</v>
      </c>
      <c r="F1100" s="32" t="s">
        <v>173</v>
      </c>
      <c r="G1100" s="32">
        <v>9.7927999999999997</v>
      </c>
      <c r="H1100" s="32">
        <v>4.7927999999999997</v>
      </c>
      <c r="I1100" s="32" t="s">
        <v>174</v>
      </c>
      <c r="J1100" s="32">
        <v>1</v>
      </c>
      <c r="K1100" s="32" t="s">
        <v>183</v>
      </c>
      <c r="L1100" s="18">
        <f t="shared" si="17"/>
        <v>999999999</v>
      </c>
    </row>
    <row r="1101" spans="1:12" ht="15" customHeight="1" x14ac:dyDescent="0.25">
      <c r="A1101" s="32" t="s">
        <v>186</v>
      </c>
      <c r="B1101" s="32" t="s">
        <v>59</v>
      </c>
      <c r="C1101" s="32" t="s">
        <v>154</v>
      </c>
      <c r="D1101" s="32">
        <v>64.010000000000005</v>
      </c>
      <c r="E1101" s="32">
        <v>64.5</v>
      </c>
      <c r="F1101" s="32" t="s">
        <v>173</v>
      </c>
      <c r="G1101" s="32">
        <v>9.8323999999999998</v>
      </c>
      <c r="H1101" s="32">
        <v>2.8323999999999998</v>
      </c>
      <c r="I1101" s="32" t="s">
        <v>174</v>
      </c>
      <c r="J1101" s="32">
        <v>1</v>
      </c>
      <c r="K1101" s="32" t="s">
        <v>183</v>
      </c>
      <c r="L1101" s="18">
        <f t="shared" si="17"/>
        <v>999999999</v>
      </c>
    </row>
    <row r="1102" spans="1:12" ht="15" customHeight="1" x14ac:dyDescent="0.25">
      <c r="A1102" s="32" t="s">
        <v>186</v>
      </c>
      <c r="B1102" s="32" t="s">
        <v>59</v>
      </c>
      <c r="C1102" s="32" t="s">
        <v>154</v>
      </c>
      <c r="D1102" s="32">
        <v>64.510000000000005</v>
      </c>
      <c r="E1102" s="32">
        <v>65</v>
      </c>
      <c r="F1102" s="32" t="s">
        <v>173</v>
      </c>
      <c r="G1102" s="32">
        <v>9.8719999999999999</v>
      </c>
      <c r="H1102" s="32">
        <v>3.8719999999999999</v>
      </c>
      <c r="I1102" s="32" t="s">
        <v>174</v>
      </c>
      <c r="J1102" s="32">
        <v>1</v>
      </c>
      <c r="K1102" s="32" t="s">
        <v>183</v>
      </c>
      <c r="L1102" s="18">
        <f t="shared" si="17"/>
        <v>999999999</v>
      </c>
    </row>
    <row r="1103" spans="1:12" ht="15" customHeight="1" x14ac:dyDescent="0.25">
      <c r="A1103" s="32" t="s">
        <v>186</v>
      </c>
      <c r="B1103" s="32" t="s">
        <v>59</v>
      </c>
      <c r="C1103" s="32" t="s">
        <v>154</v>
      </c>
      <c r="D1103" s="32">
        <v>65.010000000000005</v>
      </c>
      <c r="E1103" s="32">
        <v>65.5</v>
      </c>
      <c r="F1103" s="32" t="s">
        <v>173</v>
      </c>
      <c r="G1103" s="32">
        <v>9.9116</v>
      </c>
      <c r="H1103" s="32">
        <v>5.9116</v>
      </c>
      <c r="I1103" s="32" t="s">
        <v>174</v>
      </c>
      <c r="J1103" s="32">
        <v>1</v>
      </c>
      <c r="K1103" s="32" t="s">
        <v>183</v>
      </c>
      <c r="L1103" s="18">
        <f t="shared" si="17"/>
        <v>999999999</v>
      </c>
    </row>
    <row r="1104" spans="1:12" ht="15" customHeight="1" x14ac:dyDescent="0.25">
      <c r="A1104" s="32" t="s">
        <v>186</v>
      </c>
      <c r="B1104" s="32" t="s">
        <v>59</v>
      </c>
      <c r="C1104" s="32" t="s">
        <v>154</v>
      </c>
      <c r="D1104" s="32">
        <v>65.510000000000005</v>
      </c>
      <c r="E1104" s="32">
        <v>66</v>
      </c>
      <c r="F1104" s="32" t="s">
        <v>173</v>
      </c>
      <c r="G1104" s="32">
        <v>9.9512</v>
      </c>
      <c r="H1104" s="32">
        <v>2.9512</v>
      </c>
      <c r="I1104" s="32" t="s">
        <v>174</v>
      </c>
      <c r="J1104" s="32">
        <v>1</v>
      </c>
      <c r="K1104" s="32" t="s">
        <v>183</v>
      </c>
      <c r="L1104" s="18">
        <f t="shared" si="17"/>
        <v>999999999</v>
      </c>
    </row>
    <row r="1105" spans="1:12" ht="15" customHeight="1" x14ac:dyDescent="0.25">
      <c r="A1105" s="32" t="s">
        <v>186</v>
      </c>
      <c r="B1105" s="32" t="s">
        <v>59</v>
      </c>
      <c r="C1105" s="32" t="s">
        <v>154</v>
      </c>
      <c r="D1105" s="32">
        <v>66.010000000000005</v>
      </c>
      <c r="E1105" s="32">
        <v>66.5</v>
      </c>
      <c r="F1105" s="32" t="s">
        <v>173</v>
      </c>
      <c r="G1105" s="32">
        <v>9.9908000000000001</v>
      </c>
      <c r="H1105" s="32">
        <v>2.9908000000000001</v>
      </c>
      <c r="I1105" s="32" t="s">
        <v>174</v>
      </c>
      <c r="J1105" s="32">
        <v>1</v>
      </c>
      <c r="K1105" s="32" t="s">
        <v>183</v>
      </c>
      <c r="L1105" s="18">
        <f t="shared" si="17"/>
        <v>999999999</v>
      </c>
    </row>
    <row r="1106" spans="1:12" ht="15" customHeight="1" x14ac:dyDescent="0.25">
      <c r="A1106" s="32" t="s">
        <v>186</v>
      </c>
      <c r="B1106" s="32" t="s">
        <v>59</v>
      </c>
      <c r="C1106" s="32" t="s">
        <v>154</v>
      </c>
      <c r="D1106" s="32">
        <v>66.510000000000005</v>
      </c>
      <c r="E1106" s="32">
        <v>67</v>
      </c>
      <c r="F1106" s="32" t="s">
        <v>173</v>
      </c>
      <c r="G1106" s="32">
        <v>11.0304</v>
      </c>
      <c r="H1106" s="32">
        <v>4.0304000000000002</v>
      </c>
      <c r="I1106" s="32" t="s">
        <v>174</v>
      </c>
      <c r="J1106" s="32">
        <v>1</v>
      </c>
      <c r="K1106" s="32" t="s">
        <v>183</v>
      </c>
      <c r="L1106" s="18">
        <f t="shared" si="17"/>
        <v>999999999</v>
      </c>
    </row>
    <row r="1107" spans="1:12" ht="15" customHeight="1" x14ac:dyDescent="0.25">
      <c r="A1107" s="32" t="s">
        <v>186</v>
      </c>
      <c r="B1107" s="32" t="s">
        <v>59</v>
      </c>
      <c r="C1107" s="32" t="s">
        <v>154</v>
      </c>
      <c r="D1107" s="32">
        <v>67.010000000000005</v>
      </c>
      <c r="E1107" s="32">
        <v>67.5</v>
      </c>
      <c r="F1107" s="32" t="s">
        <v>173</v>
      </c>
      <c r="G1107" s="32">
        <v>11.07</v>
      </c>
      <c r="H1107" s="32">
        <v>6.07</v>
      </c>
      <c r="I1107" s="32" t="s">
        <v>174</v>
      </c>
      <c r="J1107" s="32">
        <v>1</v>
      </c>
      <c r="K1107" s="32" t="s">
        <v>183</v>
      </c>
      <c r="L1107" s="18">
        <f t="shared" si="17"/>
        <v>999999999</v>
      </c>
    </row>
    <row r="1108" spans="1:12" ht="15" customHeight="1" x14ac:dyDescent="0.25">
      <c r="A1108" s="32" t="s">
        <v>186</v>
      </c>
      <c r="B1108" s="32" t="s">
        <v>59</v>
      </c>
      <c r="C1108" s="32" t="s">
        <v>154</v>
      </c>
      <c r="D1108" s="32">
        <v>67.510000000000005</v>
      </c>
      <c r="E1108" s="32">
        <v>68</v>
      </c>
      <c r="F1108" s="32" t="s">
        <v>173</v>
      </c>
      <c r="G1108" s="32">
        <v>11.1096</v>
      </c>
      <c r="H1108" s="32">
        <v>6.1096000000000004</v>
      </c>
      <c r="I1108" s="32" t="s">
        <v>174</v>
      </c>
      <c r="J1108" s="32">
        <v>1</v>
      </c>
      <c r="K1108" s="32" t="s">
        <v>183</v>
      </c>
      <c r="L1108" s="18">
        <f t="shared" si="17"/>
        <v>999999999</v>
      </c>
    </row>
    <row r="1109" spans="1:12" ht="15" customHeight="1" x14ac:dyDescent="0.25">
      <c r="A1109" s="32" t="s">
        <v>186</v>
      </c>
      <c r="B1109" s="32" t="s">
        <v>59</v>
      </c>
      <c r="C1109" s="32" t="s">
        <v>154</v>
      </c>
      <c r="D1109" s="32">
        <v>68.010000000000005</v>
      </c>
      <c r="E1109" s="32">
        <v>68.5</v>
      </c>
      <c r="F1109" s="32" t="s">
        <v>173</v>
      </c>
      <c r="G1109" s="32">
        <v>11.1492</v>
      </c>
      <c r="H1109" s="32">
        <v>7.1492000000000004</v>
      </c>
      <c r="I1109" s="32" t="s">
        <v>174</v>
      </c>
      <c r="J1109" s="32">
        <v>1</v>
      </c>
      <c r="K1109" s="32" t="s">
        <v>183</v>
      </c>
      <c r="L1109" s="18">
        <f t="shared" si="17"/>
        <v>999999999</v>
      </c>
    </row>
    <row r="1110" spans="1:12" ht="15" customHeight="1" x14ac:dyDescent="0.25">
      <c r="A1110" s="32" t="s">
        <v>186</v>
      </c>
      <c r="B1110" s="32" t="s">
        <v>59</v>
      </c>
      <c r="C1110" s="32" t="s">
        <v>154</v>
      </c>
      <c r="D1110" s="32">
        <v>68.510000000000005</v>
      </c>
      <c r="E1110" s="32">
        <v>69</v>
      </c>
      <c r="F1110" s="32" t="s">
        <v>173</v>
      </c>
      <c r="G1110" s="32">
        <v>11.188800000000001</v>
      </c>
      <c r="H1110" s="32">
        <v>5.1887999999999996</v>
      </c>
      <c r="I1110" s="32" t="s">
        <v>174</v>
      </c>
      <c r="J1110" s="32">
        <v>1</v>
      </c>
      <c r="K1110" s="32" t="s">
        <v>183</v>
      </c>
      <c r="L1110" s="18">
        <f t="shared" si="17"/>
        <v>999999999</v>
      </c>
    </row>
    <row r="1111" spans="1:12" ht="15" customHeight="1" x14ac:dyDescent="0.25">
      <c r="A1111" s="32" t="s">
        <v>186</v>
      </c>
      <c r="B1111" s="32" t="s">
        <v>59</v>
      </c>
      <c r="C1111" s="32" t="s">
        <v>154</v>
      </c>
      <c r="D1111" s="32">
        <v>69.010000000000005</v>
      </c>
      <c r="E1111" s="32">
        <v>69.5</v>
      </c>
      <c r="F1111" s="32" t="s">
        <v>173</v>
      </c>
      <c r="G1111" s="32">
        <v>11.228400000000001</v>
      </c>
      <c r="H1111" s="32">
        <v>7.2283999999999997</v>
      </c>
      <c r="I1111" s="32" t="s">
        <v>174</v>
      </c>
      <c r="J1111" s="32">
        <v>1</v>
      </c>
      <c r="K1111" s="32" t="s">
        <v>183</v>
      </c>
      <c r="L1111" s="18">
        <f t="shared" si="17"/>
        <v>999999999</v>
      </c>
    </row>
    <row r="1112" spans="1:12" ht="15" customHeight="1" x14ac:dyDescent="0.25">
      <c r="A1112" s="32" t="s">
        <v>186</v>
      </c>
      <c r="B1112" s="32" t="s">
        <v>59</v>
      </c>
      <c r="C1112" s="32" t="s">
        <v>154</v>
      </c>
      <c r="D1112" s="32">
        <v>69.510000000000005</v>
      </c>
      <c r="E1112" s="32">
        <v>70</v>
      </c>
      <c r="F1112" s="32" t="s">
        <v>173</v>
      </c>
      <c r="G1112" s="32">
        <v>11.268000000000001</v>
      </c>
      <c r="H1112" s="32">
        <v>4.2679999999999998</v>
      </c>
      <c r="I1112" s="32" t="s">
        <v>174</v>
      </c>
      <c r="J1112" s="32">
        <v>1</v>
      </c>
      <c r="K1112" s="32" t="s">
        <v>183</v>
      </c>
      <c r="L1112" s="18">
        <f t="shared" si="17"/>
        <v>999999999</v>
      </c>
    </row>
    <row r="1113" spans="1:12" ht="15" customHeight="1" x14ac:dyDescent="0.25">
      <c r="A1113" s="32" t="s">
        <v>186</v>
      </c>
      <c r="B1113" s="32" t="s">
        <v>59</v>
      </c>
      <c r="C1113" s="32" t="s">
        <v>154</v>
      </c>
      <c r="D1113" s="32">
        <v>70.010000000000005</v>
      </c>
      <c r="E1113" s="32">
        <v>70.5</v>
      </c>
      <c r="F1113" s="32" t="s">
        <v>173</v>
      </c>
      <c r="G1113" s="32">
        <v>11.307600000000001</v>
      </c>
      <c r="H1113" s="32">
        <v>6.3075999999999999</v>
      </c>
      <c r="I1113" s="32" t="s">
        <v>174</v>
      </c>
      <c r="J1113" s="32">
        <v>1</v>
      </c>
      <c r="K1113" s="32" t="s">
        <v>183</v>
      </c>
      <c r="L1113" s="18">
        <f t="shared" si="17"/>
        <v>999999999</v>
      </c>
    </row>
    <row r="1114" spans="1:12" ht="15" customHeight="1" x14ac:dyDescent="0.25">
      <c r="A1114" s="32" t="s">
        <v>186</v>
      </c>
      <c r="B1114" s="32" t="s">
        <v>59</v>
      </c>
      <c r="C1114" s="32" t="s">
        <v>154</v>
      </c>
      <c r="D1114" s="32">
        <v>70.510000000000005</v>
      </c>
      <c r="E1114" s="32">
        <v>71</v>
      </c>
      <c r="F1114" s="32" t="s">
        <v>173</v>
      </c>
      <c r="G1114" s="32">
        <v>11.347200000000001</v>
      </c>
      <c r="H1114" s="32">
        <v>4.3472</v>
      </c>
      <c r="I1114" s="32" t="s">
        <v>174</v>
      </c>
      <c r="J1114" s="32">
        <v>1</v>
      </c>
      <c r="K1114" s="32" t="s">
        <v>183</v>
      </c>
      <c r="L1114" s="18">
        <f t="shared" si="17"/>
        <v>999999999</v>
      </c>
    </row>
    <row r="1115" spans="1:12" ht="15" customHeight="1" x14ac:dyDescent="0.25">
      <c r="A1115" s="32" t="s">
        <v>186</v>
      </c>
      <c r="B1115" s="32" t="s">
        <v>59</v>
      </c>
      <c r="C1115" s="32" t="s">
        <v>154</v>
      </c>
      <c r="D1115" s="32">
        <v>71.010000000000005</v>
      </c>
      <c r="E1115" s="32">
        <v>71.5</v>
      </c>
      <c r="F1115" s="32" t="s">
        <v>173</v>
      </c>
      <c r="G1115" s="32">
        <v>11.386799999999999</v>
      </c>
      <c r="H1115" s="32">
        <v>3.3868</v>
      </c>
      <c r="I1115" s="32" t="s">
        <v>174</v>
      </c>
      <c r="J1115" s="32">
        <v>1</v>
      </c>
      <c r="K1115" s="32" t="s">
        <v>183</v>
      </c>
      <c r="L1115" s="18">
        <f t="shared" si="17"/>
        <v>999999999</v>
      </c>
    </row>
    <row r="1116" spans="1:12" ht="15" customHeight="1" x14ac:dyDescent="0.25">
      <c r="A1116" s="32" t="s">
        <v>186</v>
      </c>
      <c r="B1116" s="32" t="s">
        <v>59</v>
      </c>
      <c r="C1116" s="32" t="s">
        <v>154</v>
      </c>
      <c r="D1116" s="32">
        <v>71.510000000000005</v>
      </c>
      <c r="E1116" s="32">
        <v>72</v>
      </c>
      <c r="F1116" s="32" t="s">
        <v>173</v>
      </c>
      <c r="G1116" s="32">
        <v>11.426399999999999</v>
      </c>
      <c r="H1116" s="32">
        <v>4.4264000000000001</v>
      </c>
      <c r="I1116" s="32" t="s">
        <v>174</v>
      </c>
      <c r="J1116" s="32">
        <v>1</v>
      </c>
      <c r="K1116" s="32" t="s">
        <v>183</v>
      </c>
      <c r="L1116" s="18">
        <f t="shared" si="17"/>
        <v>999999999</v>
      </c>
    </row>
    <row r="1117" spans="1:12" ht="15" customHeight="1" x14ac:dyDescent="0.25">
      <c r="A1117" s="32" t="s">
        <v>186</v>
      </c>
      <c r="B1117" s="32" t="s">
        <v>59</v>
      </c>
      <c r="C1117" s="32" t="s">
        <v>154</v>
      </c>
      <c r="D1117" s="32">
        <v>72.010000000000005</v>
      </c>
      <c r="E1117" s="32">
        <v>72.5</v>
      </c>
      <c r="F1117" s="32" t="s">
        <v>173</v>
      </c>
      <c r="G1117" s="32">
        <v>11.465999999999999</v>
      </c>
      <c r="H1117" s="32">
        <v>4.4660000000000002</v>
      </c>
      <c r="I1117" s="32" t="s">
        <v>174</v>
      </c>
      <c r="J1117" s="32">
        <v>1</v>
      </c>
      <c r="K1117" s="32" t="s">
        <v>183</v>
      </c>
      <c r="L1117" s="18">
        <f t="shared" si="17"/>
        <v>999999999</v>
      </c>
    </row>
    <row r="1118" spans="1:12" ht="15" customHeight="1" x14ac:dyDescent="0.25">
      <c r="A1118" s="32" t="s">
        <v>186</v>
      </c>
      <c r="B1118" s="32" t="s">
        <v>59</v>
      </c>
      <c r="C1118" s="32" t="s">
        <v>154</v>
      </c>
      <c r="D1118" s="32">
        <v>72.510000000000005</v>
      </c>
      <c r="E1118" s="32">
        <v>73</v>
      </c>
      <c r="F1118" s="32" t="s">
        <v>173</v>
      </c>
      <c r="G1118" s="32">
        <v>11.505599999999999</v>
      </c>
      <c r="H1118" s="32">
        <v>7.5056000000000003</v>
      </c>
      <c r="I1118" s="32" t="s">
        <v>174</v>
      </c>
      <c r="J1118" s="32">
        <v>1</v>
      </c>
      <c r="K1118" s="32" t="s">
        <v>183</v>
      </c>
      <c r="L1118" s="18">
        <f t="shared" si="17"/>
        <v>999999999</v>
      </c>
    </row>
    <row r="1119" spans="1:12" ht="15" customHeight="1" x14ac:dyDescent="0.25">
      <c r="A1119" s="32" t="s">
        <v>186</v>
      </c>
      <c r="B1119" s="32" t="s">
        <v>59</v>
      </c>
      <c r="C1119" s="32" t="s">
        <v>154</v>
      </c>
      <c r="D1119" s="32">
        <v>73.010000000000005</v>
      </c>
      <c r="E1119" s="32">
        <v>73.5</v>
      </c>
      <c r="F1119" s="32" t="s">
        <v>173</v>
      </c>
      <c r="G1119" s="32">
        <v>11.545199999999999</v>
      </c>
      <c r="H1119" s="32">
        <v>4.5452000000000004</v>
      </c>
      <c r="I1119" s="32" t="s">
        <v>174</v>
      </c>
      <c r="J1119" s="32">
        <v>1</v>
      </c>
      <c r="K1119" s="32" t="s">
        <v>183</v>
      </c>
      <c r="L1119" s="18">
        <f t="shared" si="17"/>
        <v>999999999</v>
      </c>
    </row>
    <row r="1120" spans="1:12" ht="15" customHeight="1" x14ac:dyDescent="0.25">
      <c r="A1120" s="32" t="s">
        <v>186</v>
      </c>
      <c r="B1120" s="32" t="s">
        <v>59</v>
      </c>
      <c r="C1120" s="32" t="s">
        <v>154</v>
      </c>
      <c r="D1120" s="32">
        <v>73.510000000000005</v>
      </c>
      <c r="E1120" s="32">
        <v>74</v>
      </c>
      <c r="F1120" s="32" t="s">
        <v>173</v>
      </c>
      <c r="G1120" s="32">
        <v>11.5848</v>
      </c>
      <c r="H1120" s="32">
        <v>6.5848000000000004</v>
      </c>
      <c r="I1120" s="32" t="s">
        <v>174</v>
      </c>
      <c r="J1120" s="32">
        <v>1</v>
      </c>
      <c r="K1120" s="32" t="s">
        <v>183</v>
      </c>
      <c r="L1120" s="18">
        <f t="shared" si="17"/>
        <v>999999999</v>
      </c>
    </row>
    <row r="1121" spans="1:12" ht="15" customHeight="1" x14ac:dyDescent="0.25">
      <c r="A1121" s="32" t="s">
        <v>186</v>
      </c>
      <c r="B1121" s="32" t="s">
        <v>59</v>
      </c>
      <c r="C1121" s="32" t="s">
        <v>154</v>
      </c>
      <c r="D1121" s="32">
        <v>74.010000000000005</v>
      </c>
      <c r="E1121" s="32">
        <v>74.5</v>
      </c>
      <c r="F1121" s="32" t="s">
        <v>173</v>
      </c>
      <c r="G1121" s="32">
        <v>11.6244</v>
      </c>
      <c r="H1121" s="32">
        <v>7.6243999999999996</v>
      </c>
      <c r="I1121" s="32" t="s">
        <v>174</v>
      </c>
      <c r="J1121" s="32">
        <v>1</v>
      </c>
      <c r="K1121" s="32" t="s">
        <v>183</v>
      </c>
      <c r="L1121" s="18">
        <f t="shared" si="17"/>
        <v>999999999</v>
      </c>
    </row>
    <row r="1122" spans="1:12" ht="15" customHeight="1" x14ac:dyDescent="0.25">
      <c r="A1122" s="32" t="s">
        <v>186</v>
      </c>
      <c r="B1122" s="32" t="s">
        <v>59</v>
      </c>
      <c r="C1122" s="32" t="s">
        <v>154</v>
      </c>
      <c r="D1122" s="32">
        <v>74.510000000000005</v>
      </c>
      <c r="E1122" s="32">
        <v>75</v>
      </c>
      <c r="F1122" s="32" t="s">
        <v>173</v>
      </c>
      <c r="G1122" s="32">
        <v>11.664</v>
      </c>
      <c r="H1122" s="32">
        <v>7.6639999999999997</v>
      </c>
      <c r="I1122" s="32" t="s">
        <v>174</v>
      </c>
      <c r="J1122" s="32">
        <v>1</v>
      </c>
      <c r="K1122" s="32" t="s">
        <v>183</v>
      </c>
      <c r="L1122" s="18">
        <f t="shared" si="17"/>
        <v>999999999</v>
      </c>
    </row>
    <row r="1123" spans="1:12" ht="15" customHeight="1" x14ac:dyDescent="0.25">
      <c r="A1123" s="32" t="s">
        <v>186</v>
      </c>
      <c r="B1123" s="32" t="s">
        <v>59</v>
      </c>
      <c r="C1123" s="32" t="s">
        <v>154</v>
      </c>
      <c r="D1123" s="32">
        <v>75.010000000000005</v>
      </c>
      <c r="E1123" s="32">
        <v>99999.99</v>
      </c>
      <c r="F1123" s="32" t="s">
        <v>173</v>
      </c>
      <c r="G1123" s="32">
        <v>11.704800000000001</v>
      </c>
      <c r="H1123" s="32">
        <v>0.1024</v>
      </c>
      <c r="I1123" s="32" t="s">
        <v>174</v>
      </c>
      <c r="J1123" s="32">
        <v>1</v>
      </c>
      <c r="K1123" s="32" t="s">
        <v>183</v>
      </c>
      <c r="L1123" s="18">
        <f t="shared" si="17"/>
        <v>83879.193600000013</v>
      </c>
    </row>
    <row r="1124" spans="1:12" ht="15" customHeight="1" x14ac:dyDescent="0.25">
      <c r="A1124" s="32" t="s">
        <v>182</v>
      </c>
      <c r="B1124" s="32" t="s">
        <v>59</v>
      </c>
      <c r="C1124" s="32" t="s">
        <v>154</v>
      </c>
      <c r="D1124" s="32">
        <v>0.01</v>
      </c>
      <c r="E1124" s="32">
        <v>0.5</v>
      </c>
      <c r="F1124" s="32" t="s">
        <v>173</v>
      </c>
      <c r="G1124" s="32">
        <v>1.202</v>
      </c>
      <c r="H1124" s="32">
        <v>0.20200000000000001</v>
      </c>
      <c r="I1124" s="32" t="s">
        <v>174</v>
      </c>
      <c r="J1124" s="32">
        <v>1</v>
      </c>
      <c r="K1124" s="32" t="s">
        <v>183</v>
      </c>
      <c r="L1124" s="18">
        <f t="shared" si="17"/>
        <v>999999999</v>
      </c>
    </row>
    <row r="1125" spans="1:12" ht="15" customHeight="1" x14ac:dyDescent="0.25">
      <c r="A1125" s="32" t="s">
        <v>182</v>
      </c>
      <c r="B1125" s="32" t="s">
        <v>59</v>
      </c>
      <c r="C1125" s="32" t="s">
        <v>154</v>
      </c>
      <c r="D1125" s="32">
        <v>0.51</v>
      </c>
      <c r="E1125" s="32">
        <v>1</v>
      </c>
      <c r="F1125" s="32" t="s">
        <v>173</v>
      </c>
      <c r="G1125" s="32">
        <v>1.2604</v>
      </c>
      <c r="H1125" s="32">
        <v>0.26040000000000002</v>
      </c>
      <c r="I1125" s="32" t="s">
        <v>174</v>
      </c>
      <c r="J1125" s="32">
        <v>1</v>
      </c>
      <c r="K1125" s="32" t="s">
        <v>183</v>
      </c>
      <c r="L1125" s="18">
        <f t="shared" si="17"/>
        <v>999999999</v>
      </c>
    </row>
    <row r="1126" spans="1:12" ht="15" customHeight="1" x14ac:dyDescent="0.25">
      <c r="A1126" s="32" t="s">
        <v>182</v>
      </c>
      <c r="B1126" s="32" t="s">
        <v>59</v>
      </c>
      <c r="C1126" s="32" t="s">
        <v>154</v>
      </c>
      <c r="D1126" s="32">
        <v>1.01</v>
      </c>
      <c r="E1126" s="32">
        <v>1.5</v>
      </c>
      <c r="F1126" s="32" t="s">
        <v>173</v>
      </c>
      <c r="G1126" s="32">
        <v>1.3191999999999999</v>
      </c>
      <c r="H1126" s="32">
        <v>0.31919999999999998</v>
      </c>
      <c r="I1126" s="32" t="s">
        <v>174</v>
      </c>
      <c r="J1126" s="32">
        <v>1</v>
      </c>
      <c r="K1126" s="32" t="s">
        <v>183</v>
      </c>
      <c r="L1126" s="18">
        <f t="shared" si="17"/>
        <v>999999999</v>
      </c>
    </row>
    <row r="1127" spans="1:12" ht="15" customHeight="1" x14ac:dyDescent="0.25">
      <c r="A1127" s="32" t="s">
        <v>182</v>
      </c>
      <c r="B1127" s="32" t="s">
        <v>59</v>
      </c>
      <c r="C1127" s="32" t="s">
        <v>154</v>
      </c>
      <c r="D1127" s="32">
        <v>1.51</v>
      </c>
      <c r="E1127" s="32">
        <v>2</v>
      </c>
      <c r="F1127" s="32" t="s">
        <v>173</v>
      </c>
      <c r="G1127" s="32">
        <v>1.3804000000000001</v>
      </c>
      <c r="H1127" s="32">
        <v>0.38040000000000002</v>
      </c>
      <c r="I1127" s="32" t="s">
        <v>174</v>
      </c>
      <c r="J1127" s="32">
        <v>1</v>
      </c>
      <c r="K1127" s="32" t="s">
        <v>183</v>
      </c>
      <c r="L1127" s="18">
        <f t="shared" si="17"/>
        <v>999999999</v>
      </c>
    </row>
    <row r="1128" spans="1:12" ht="15" customHeight="1" x14ac:dyDescent="0.25">
      <c r="A1128" s="32" t="s">
        <v>182</v>
      </c>
      <c r="B1128" s="32" t="s">
        <v>59</v>
      </c>
      <c r="C1128" s="32" t="s">
        <v>154</v>
      </c>
      <c r="D1128" s="32">
        <v>2.0099999999999998</v>
      </c>
      <c r="E1128" s="32">
        <v>2.5</v>
      </c>
      <c r="F1128" s="32" t="s">
        <v>173</v>
      </c>
      <c r="G1128" s="32">
        <v>1.4416</v>
      </c>
      <c r="H1128" s="32">
        <v>0.44159999999999999</v>
      </c>
      <c r="I1128" s="32" t="s">
        <v>174</v>
      </c>
      <c r="J1128" s="32">
        <v>1</v>
      </c>
      <c r="K1128" s="32" t="s">
        <v>183</v>
      </c>
      <c r="L1128" s="18">
        <f t="shared" si="17"/>
        <v>999999999</v>
      </c>
    </row>
    <row r="1129" spans="1:12" ht="15" customHeight="1" x14ac:dyDescent="0.25">
      <c r="A1129" s="32" t="s">
        <v>182</v>
      </c>
      <c r="B1129" s="32" t="s">
        <v>59</v>
      </c>
      <c r="C1129" s="32" t="s">
        <v>154</v>
      </c>
      <c r="D1129" s="32">
        <v>70.510000000000005</v>
      </c>
      <c r="E1129" s="32">
        <v>99.99</v>
      </c>
      <c r="F1129" s="32" t="s">
        <v>173</v>
      </c>
      <c r="G1129" s="32">
        <v>9.0884</v>
      </c>
      <c r="H1129" s="32">
        <v>8.4400000000000003E-2</v>
      </c>
      <c r="I1129" s="32" t="s">
        <v>174</v>
      </c>
      <c r="J1129" s="32">
        <v>1</v>
      </c>
      <c r="K1129" s="32" t="s">
        <v>183</v>
      </c>
      <c r="L1129" s="18">
        <f t="shared" si="17"/>
        <v>999999999</v>
      </c>
    </row>
    <row r="1130" spans="1:12" ht="15" customHeight="1" x14ac:dyDescent="0.25">
      <c r="A1130" s="32" t="s">
        <v>182</v>
      </c>
      <c r="B1130" s="32" t="s">
        <v>59</v>
      </c>
      <c r="C1130" s="32" t="s">
        <v>154</v>
      </c>
      <c r="D1130" s="32">
        <v>100</v>
      </c>
      <c r="E1130" s="32">
        <v>299.99</v>
      </c>
      <c r="F1130" s="32" t="s">
        <v>173</v>
      </c>
      <c r="G1130" s="32">
        <v>11.6272</v>
      </c>
      <c r="H1130" s="32">
        <v>8.3199999999999996E-2</v>
      </c>
      <c r="I1130" s="32" t="s">
        <v>174</v>
      </c>
      <c r="J1130" s="32">
        <v>1</v>
      </c>
      <c r="K1130" s="32" t="s">
        <v>183</v>
      </c>
      <c r="L1130" s="18">
        <f t="shared" si="17"/>
        <v>999999999</v>
      </c>
    </row>
    <row r="1131" spans="1:12" ht="15" customHeight="1" x14ac:dyDescent="0.25">
      <c r="A1131" s="32" t="s">
        <v>182</v>
      </c>
      <c r="B1131" s="32" t="s">
        <v>59</v>
      </c>
      <c r="C1131" s="32" t="s">
        <v>154</v>
      </c>
      <c r="D1131" s="32">
        <v>300</v>
      </c>
      <c r="E1131" s="32">
        <v>499.99</v>
      </c>
      <c r="F1131" s="32" t="s">
        <v>173</v>
      </c>
      <c r="G1131" s="32">
        <v>33.227200000000003</v>
      </c>
      <c r="H1131" s="32">
        <v>8.1199999999999994E-2</v>
      </c>
      <c r="I1131" s="32" t="s">
        <v>174</v>
      </c>
      <c r="J1131" s="32">
        <v>1</v>
      </c>
      <c r="K1131" s="32" t="s">
        <v>183</v>
      </c>
      <c r="L1131" s="18">
        <f t="shared" si="17"/>
        <v>999999999</v>
      </c>
    </row>
    <row r="1132" spans="1:12" ht="15" customHeight="1" x14ac:dyDescent="0.25">
      <c r="A1132" s="32" t="s">
        <v>182</v>
      </c>
      <c r="B1132" s="32" t="s">
        <v>59</v>
      </c>
      <c r="C1132" s="32" t="s">
        <v>154</v>
      </c>
      <c r="D1132" s="32">
        <v>500</v>
      </c>
      <c r="E1132" s="32">
        <v>999.99</v>
      </c>
      <c r="F1132" s="32" t="s">
        <v>173</v>
      </c>
      <c r="G1132" s="32">
        <v>53.427199999999999</v>
      </c>
      <c r="H1132" s="32">
        <v>0.08</v>
      </c>
      <c r="I1132" s="32" t="s">
        <v>174</v>
      </c>
      <c r="J1132" s="32">
        <v>1</v>
      </c>
      <c r="K1132" s="32" t="s">
        <v>183</v>
      </c>
      <c r="L1132" s="18">
        <f t="shared" si="17"/>
        <v>999999999</v>
      </c>
    </row>
    <row r="1133" spans="1:12" ht="15" customHeight="1" x14ac:dyDescent="0.25">
      <c r="A1133" s="32" t="s">
        <v>182</v>
      </c>
      <c r="B1133" s="32" t="s">
        <v>59</v>
      </c>
      <c r="C1133" s="32" t="s">
        <v>154</v>
      </c>
      <c r="D1133" s="32">
        <v>1000</v>
      </c>
      <c r="E1133" s="32">
        <v>9999.99</v>
      </c>
      <c r="F1133" s="32" t="s">
        <v>173</v>
      </c>
      <c r="G1133" s="32">
        <v>101.8272</v>
      </c>
      <c r="H1133" s="32">
        <v>7.8E-2</v>
      </c>
      <c r="I1133" s="32" t="s">
        <v>174</v>
      </c>
      <c r="J1133" s="32">
        <v>1</v>
      </c>
      <c r="K1133" s="32" t="s">
        <v>183</v>
      </c>
      <c r="L1133" s="18">
        <f t="shared" si="17"/>
        <v>63892.354500000001</v>
      </c>
    </row>
    <row r="1134" spans="1:12" ht="15" customHeight="1" x14ac:dyDescent="0.25">
      <c r="A1134" s="32" t="s">
        <v>182</v>
      </c>
      <c r="B1134" s="32" t="s">
        <v>59</v>
      </c>
      <c r="C1134" s="32" t="s">
        <v>154</v>
      </c>
      <c r="D1134" s="32">
        <v>0.01</v>
      </c>
      <c r="E1134" s="32">
        <v>0.5</v>
      </c>
      <c r="F1134" s="32" t="s">
        <v>173</v>
      </c>
      <c r="G1134" s="32">
        <v>1.4263999999999999</v>
      </c>
      <c r="H1134" s="32">
        <v>0.4264</v>
      </c>
      <c r="I1134" s="32" t="s">
        <v>174</v>
      </c>
      <c r="J1134" s="32">
        <v>1</v>
      </c>
      <c r="K1134" s="32" t="s">
        <v>183</v>
      </c>
      <c r="L1134" s="18">
        <f t="shared" si="17"/>
        <v>999999999</v>
      </c>
    </row>
    <row r="1135" spans="1:12" ht="15" customHeight="1" x14ac:dyDescent="0.25">
      <c r="A1135" s="32" t="s">
        <v>182</v>
      </c>
      <c r="B1135" s="32" t="s">
        <v>59</v>
      </c>
      <c r="C1135" s="32" t="s">
        <v>154</v>
      </c>
      <c r="D1135" s="32">
        <v>0.51</v>
      </c>
      <c r="E1135" s="32">
        <v>1</v>
      </c>
      <c r="F1135" s="32" t="s">
        <v>173</v>
      </c>
      <c r="G1135" s="32">
        <v>1.4396</v>
      </c>
      <c r="H1135" s="32">
        <v>0.43959999999999999</v>
      </c>
      <c r="I1135" s="32" t="s">
        <v>174</v>
      </c>
      <c r="J1135" s="32">
        <v>1</v>
      </c>
      <c r="K1135" s="32" t="s">
        <v>183</v>
      </c>
      <c r="L1135" s="18">
        <f t="shared" si="17"/>
        <v>999999999</v>
      </c>
    </row>
    <row r="1136" spans="1:12" ht="15" customHeight="1" x14ac:dyDescent="0.25">
      <c r="A1136" s="32" t="s">
        <v>182</v>
      </c>
      <c r="B1136" s="32" t="s">
        <v>59</v>
      </c>
      <c r="C1136" s="32" t="s">
        <v>154</v>
      </c>
      <c r="D1136" s="32">
        <v>1.01</v>
      </c>
      <c r="E1136" s="32">
        <v>1.5</v>
      </c>
      <c r="F1136" s="32" t="s">
        <v>173</v>
      </c>
      <c r="G1136" s="32">
        <v>1.4823999999999999</v>
      </c>
      <c r="H1136" s="32">
        <v>0.4824</v>
      </c>
      <c r="I1136" s="32" t="s">
        <v>174</v>
      </c>
      <c r="J1136" s="32">
        <v>1</v>
      </c>
      <c r="K1136" s="32" t="s">
        <v>183</v>
      </c>
      <c r="L1136" s="18">
        <f t="shared" si="17"/>
        <v>999999999</v>
      </c>
    </row>
    <row r="1137" spans="1:12" ht="15" customHeight="1" x14ac:dyDescent="0.25">
      <c r="A1137" s="32" t="s">
        <v>182</v>
      </c>
      <c r="B1137" s="32" t="s">
        <v>59</v>
      </c>
      <c r="C1137" s="32" t="s">
        <v>154</v>
      </c>
      <c r="D1137" s="32">
        <v>1.51</v>
      </c>
      <c r="E1137" s="32">
        <v>2</v>
      </c>
      <c r="F1137" s="32" t="s">
        <v>173</v>
      </c>
      <c r="G1137" s="32">
        <v>1.5251999999999999</v>
      </c>
      <c r="H1137" s="32">
        <v>0.5252</v>
      </c>
      <c r="I1137" s="32" t="s">
        <v>174</v>
      </c>
      <c r="J1137" s="32">
        <v>1</v>
      </c>
      <c r="K1137" s="32" t="s">
        <v>183</v>
      </c>
      <c r="L1137" s="18">
        <f t="shared" si="17"/>
        <v>999999999</v>
      </c>
    </row>
    <row r="1138" spans="1:12" ht="15" customHeight="1" x14ac:dyDescent="0.25">
      <c r="A1138" s="32" t="s">
        <v>182</v>
      </c>
      <c r="B1138" s="32" t="s">
        <v>59</v>
      </c>
      <c r="C1138" s="32" t="s">
        <v>154</v>
      </c>
      <c r="D1138" s="32">
        <v>2.0099999999999998</v>
      </c>
      <c r="E1138" s="32">
        <v>2.5</v>
      </c>
      <c r="F1138" s="32" t="s">
        <v>173</v>
      </c>
      <c r="G1138" s="32">
        <v>1.5680000000000001</v>
      </c>
      <c r="H1138" s="32">
        <v>0.56799999999999995</v>
      </c>
      <c r="I1138" s="32" t="s">
        <v>174</v>
      </c>
      <c r="J1138" s="32">
        <v>1</v>
      </c>
      <c r="K1138" s="32" t="s">
        <v>183</v>
      </c>
      <c r="L1138" s="18">
        <f t="shared" si="17"/>
        <v>999999999</v>
      </c>
    </row>
    <row r="1139" spans="1:12" ht="15" customHeight="1" x14ac:dyDescent="0.25">
      <c r="A1139" s="32" t="s">
        <v>182</v>
      </c>
      <c r="B1139" s="32" t="s">
        <v>59</v>
      </c>
      <c r="C1139" s="32" t="s">
        <v>154</v>
      </c>
      <c r="D1139" s="32">
        <v>70.510000000000005</v>
      </c>
      <c r="E1139" s="32">
        <v>99.99</v>
      </c>
      <c r="F1139" s="32" t="s">
        <v>173</v>
      </c>
      <c r="G1139" s="32">
        <v>7.8044000000000002</v>
      </c>
      <c r="H1139" s="32">
        <v>8.0399999999999999E-2</v>
      </c>
      <c r="I1139" s="32" t="s">
        <v>174</v>
      </c>
      <c r="J1139" s="32">
        <v>1</v>
      </c>
      <c r="K1139" s="32" t="s">
        <v>183</v>
      </c>
      <c r="L1139" s="18">
        <f t="shared" si="17"/>
        <v>999999999</v>
      </c>
    </row>
    <row r="1140" spans="1:12" ht="15" customHeight="1" x14ac:dyDescent="0.25">
      <c r="A1140" s="32" t="s">
        <v>182</v>
      </c>
      <c r="B1140" s="32" t="s">
        <v>59</v>
      </c>
      <c r="C1140" s="32" t="s">
        <v>154</v>
      </c>
      <c r="D1140" s="32">
        <v>100</v>
      </c>
      <c r="E1140" s="32">
        <v>299.99</v>
      </c>
      <c r="F1140" s="32" t="s">
        <v>173</v>
      </c>
      <c r="G1140" s="32">
        <v>11.2272</v>
      </c>
      <c r="H1140" s="32">
        <v>7.9200000000000007E-2</v>
      </c>
      <c r="I1140" s="32" t="s">
        <v>174</v>
      </c>
      <c r="J1140" s="32">
        <v>1</v>
      </c>
      <c r="K1140" s="32" t="s">
        <v>183</v>
      </c>
      <c r="L1140" s="18">
        <f t="shared" si="17"/>
        <v>999999999</v>
      </c>
    </row>
    <row r="1141" spans="1:12" ht="15" customHeight="1" x14ac:dyDescent="0.25">
      <c r="A1141" s="32" t="s">
        <v>182</v>
      </c>
      <c r="B1141" s="32" t="s">
        <v>59</v>
      </c>
      <c r="C1141" s="32" t="s">
        <v>154</v>
      </c>
      <c r="D1141" s="32">
        <v>300</v>
      </c>
      <c r="E1141" s="32">
        <v>499.99</v>
      </c>
      <c r="F1141" s="32" t="s">
        <v>173</v>
      </c>
      <c r="G1141" s="32">
        <v>31.267199999999999</v>
      </c>
      <c r="H1141" s="32">
        <v>7.8E-2</v>
      </c>
      <c r="I1141" s="32" t="s">
        <v>174</v>
      </c>
      <c r="J1141" s="32">
        <v>1</v>
      </c>
      <c r="K1141" s="32" t="s">
        <v>183</v>
      </c>
      <c r="L1141" s="18">
        <f t="shared" si="17"/>
        <v>999999999</v>
      </c>
    </row>
    <row r="1142" spans="1:12" ht="15" customHeight="1" x14ac:dyDescent="0.25">
      <c r="A1142" s="32" t="s">
        <v>182</v>
      </c>
      <c r="B1142" s="32" t="s">
        <v>59</v>
      </c>
      <c r="C1142" s="32" t="s">
        <v>154</v>
      </c>
      <c r="D1142" s="32">
        <v>500</v>
      </c>
      <c r="E1142" s="32">
        <v>999.99</v>
      </c>
      <c r="F1142" s="32" t="s">
        <v>173</v>
      </c>
      <c r="G1142" s="32">
        <v>49.427199999999999</v>
      </c>
      <c r="H1142" s="32">
        <v>7.5999999999999998E-2</v>
      </c>
      <c r="I1142" s="32" t="s">
        <v>174</v>
      </c>
      <c r="J1142" s="32">
        <v>1</v>
      </c>
      <c r="K1142" s="32" t="s">
        <v>183</v>
      </c>
      <c r="L1142" s="18">
        <f t="shared" si="17"/>
        <v>999999999</v>
      </c>
    </row>
    <row r="1143" spans="1:12" ht="15" customHeight="1" x14ac:dyDescent="0.25">
      <c r="A1143" s="32" t="s">
        <v>182</v>
      </c>
      <c r="B1143" s="32" t="s">
        <v>59</v>
      </c>
      <c r="C1143" s="32" t="s">
        <v>154</v>
      </c>
      <c r="D1143" s="32">
        <v>1000</v>
      </c>
      <c r="E1143" s="32">
        <v>9999.99</v>
      </c>
      <c r="F1143" s="32" t="s">
        <v>173</v>
      </c>
      <c r="G1143" s="32">
        <v>95.227199999999996</v>
      </c>
      <c r="H1143" s="32">
        <v>7.4399999999999994E-2</v>
      </c>
      <c r="I1143" s="32" t="s">
        <v>174</v>
      </c>
      <c r="J1143" s="32">
        <v>1</v>
      </c>
      <c r="K1143" s="32" t="s">
        <v>183</v>
      </c>
      <c r="L1143" s="18">
        <f t="shared" si="17"/>
        <v>60943.476599999995</v>
      </c>
    </row>
    <row r="1144" spans="1:12" ht="15" customHeight="1" x14ac:dyDescent="0.25">
      <c r="A1144" s="32" t="s">
        <v>182</v>
      </c>
      <c r="B1144" s="32" t="s">
        <v>52</v>
      </c>
      <c r="C1144" s="32" t="s">
        <v>154</v>
      </c>
      <c r="D1144" s="32">
        <v>300</v>
      </c>
      <c r="E1144" s="32">
        <v>499.99</v>
      </c>
      <c r="F1144" s="32" t="s">
        <v>173</v>
      </c>
      <c r="G1144" s="32">
        <v>33.467199999999998</v>
      </c>
      <c r="H1144" s="32">
        <v>8.2000000000000003E-2</v>
      </c>
      <c r="I1144" s="32" t="s">
        <v>174</v>
      </c>
      <c r="J1144" s="32">
        <v>1</v>
      </c>
      <c r="K1144" s="32" t="s">
        <v>183</v>
      </c>
      <c r="L1144" s="18">
        <f t="shared" si="17"/>
        <v>999999999</v>
      </c>
    </row>
    <row r="1145" spans="1:12" ht="15" customHeight="1" x14ac:dyDescent="0.25">
      <c r="A1145" s="32" t="s">
        <v>182</v>
      </c>
      <c r="B1145" s="32" t="s">
        <v>52</v>
      </c>
      <c r="C1145" s="32" t="s">
        <v>154</v>
      </c>
      <c r="D1145" s="32">
        <v>500</v>
      </c>
      <c r="E1145" s="32">
        <v>999.99</v>
      </c>
      <c r="F1145" s="32" t="s">
        <v>173</v>
      </c>
      <c r="G1145" s="32">
        <v>55.427199999999999</v>
      </c>
      <c r="H1145" s="32">
        <v>8.2000000000000003E-2</v>
      </c>
      <c r="I1145" s="32" t="s">
        <v>174</v>
      </c>
      <c r="J1145" s="32">
        <v>1</v>
      </c>
      <c r="K1145" s="32" t="s">
        <v>183</v>
      </c>
      <c r="L1145" s="18">
        <f t="shared" si="17"/>
        <v>999999999</v>
      </c>
    </row>
    <row r="1146" spans="1:12" ht="15" customHeight="1" x14ac:dyDescent="0.25">
      <c r="A1146" s="32" t="s">
        <v>182</v>
      </c>
      <c r="B1146" s="32" t="s">
        <v>52</v>
      </c>
      <c r="C1146" s="32" t="s">
        <v>154</v>
      </c>
      <c r="D1146" s="32">
        <v>1000</v>
      </c>
      <c r="E1146" s="32">
        <v>9999.99</v>
      </c>
      <c r="F1146" s="32" t="s">
        <v>173</v>
      </c>
      <c r="G1146" s="32">
        <v>109.8272</v>
      </c>
      <c r="H1146" s="32">
        <v>8.2000000000000003E-2</v>
      </c>
      <c r="I1146" s="32" t="s">
        <v>174</v>
      </c>
      <c r="J1146" s="32">
        <v>1</v>
      </c>
      <c r="K1146" s="32" t="s">
        <v>183</v>
      </c>
      <c r="L1146" s="18">
        <f t="shared" si="17"/>
        <v>999999999</v>
      </c>
    </row>
    <row r="1147" spans="1:12" ht="15" customHeight="1" x14ac:dyDescent="0.25">
      <c r="A1147" s="32" t="s">
        <v>182</v>
      </c>
      <c r="B1147" s="32" t="s">
        <v>52</v>
      </c>
      <c r="C1147" s="32" t="s">
        <v>154</v>
      </c>
      <c r="D1147" s="32">
        <v>300</v>
      </c>
      <c r="E1147" s="32">
        <v>499.99</v>
      </c>
      <c r="F1147" s="32" t="s">
        <v>173</v>
      </c>
      <c r="G1147" s="32">
        <v>35.667200000000001</v>
      </c>
      <c r="H1147" s="32">
        <v>8.5999999999999993E-2</v>
      </c>
      <c r="I1147" s="32" t="s">
        <v>174</v>
      </c>
      <c r="J1147" s="32">
        <v>1</v>
      </c>
      <c r="K1147" s="32" t="s">
        <v>183</v>
      </c>
      <c r="L1147" s="18">
        <f t="shared" si="17"/>
        <v>999999999</v>
      </c>
    </row>
    <row r="1148" spans="1:12" ht="15" customHeight="1" x14ac:dyDescent="0.25">
      <c r="A1148" s="32" t="s">
        <v>182</v>
      </c>
      <c r="B1148" s="32" t="s">
        <v>52</v>
      </c>
      <c r="C1148" s="32" t="s">
        <v>154</v>
      </c>
      <c r="D1148" s="32">
        <v>500</v>
      </c>
      <c r="E1148" s="32">
        <v>999.99</v>
      </c>
      <c r="F1148" s="32" t="s">
        <v>173</v>
      </c>
      <c r="G1148" s="32">
        <v>59.427199999999999</v>
      </c>
      <c r="H1148" s="32">
        <v>8.5999999999999993E-2</v>
      </c>
      <c r="I1148" s="32" t="s">
        <v>174</v>
      </c>
      <c r="J1148" s="32">
        <v>1</v>
      </c>
      <c r="K1148" s="32" t="s">
        <v>183</v>
      </c>
      <c r="L1148" s="18">
        <f t="shared" si="17"/>
        <v>999999999</v>
      </c>
    </row>
    <row r="1149" spans="1:12" ht="15" customHeight="1" x14ac:dyDescent="0.25">
      <c r="A1149" s="32" t="s">
        <v>182</v>
      </c>
      <c r="B1149" s="32" t="s">
        <v>52</v>
      </c>
      <c r="C1149" s="32" t="s">
        <v>154</v>
      </c>
      <c r="D1149" s="32">
        <v>1000</v>
      </c>
      <c r="E1149" s="32">
        <v>9999.99</v>
      </c>
      <c r="F1149" s="32" t="s">
        <v>173</v>
      </c>
      <c r="G1149" s="32">
        <v>117.8272</v>
      </c>
      <c r="H1149" s="32">
        <v>8.5999999999999993E-2</v>
      </c>
      <c r="I1149" s="32" t="s">
        <v>174</v>
      </c>
      <c r="J1149" s="32">
        <v>1</v>
      </c>
      <c r="K1149" s="32" t="s">
        <v>183</v>
      </c>
      <c r="L1149" s="18">
        <f t="shared" si="17"/>
        <v>999999999</v>
      </c>
    </row>
    <row r="1150" spans="1:12" ht="15" customHeight="1" x14ac:dyDescent="0.25">
      <c r="A1150" s="32" t="s">
        <v>182</v>
      </c>
      <c r="B1150" s="32" t="s">
        <v>52</v>
      </c>
      <c r="C1150" s="32" t="s">
        <v>154</v>
      </c>
      <c r="D1150" s="32">
        <v>100</v>
      </c>
      <c r="E1150" s="32">
        <v>299.99</v>
      </c>
      <c r="F1150" s="32" t="s">
        <v>173</v>
      </c>
      <c r="G1150" s="32">
        <v>11.9872</v>
      </c>
      <c r="H1150" s="32">
        <v>8.6800000000000002E-2</v>
      </c>
      <c r="I1150" s="32" t="s">
        <v>174</v>
      </c>
      <c r="J1150" s="32">
        <v>1</v>
      </c>
      <c r="K1150" s="32" t="s">
        <v>183</v>
      </c>
      <c r="L1150" s="18">
        <f t="shared" si="17"/>
        <v>999999999</v>
      </c>
    </row>
    <row r="1151" spans="1:12" ht="15" customHeight="1" x14ac:dyDescent="0.25">
      <c r="A1151" s="32" t="s">
        <v>182</v>
      </c>
      <c r="B1151" s="32" t="s">
        <v>52</v>
      </c>
      <c r="C1151" s="32" t="s">
        <v>154</v>
      </c>
      <c r="D1151" s="32">
        <v>70.510000000000005</v>
      </c>
      <c r="E1151" s="32">
        <v>99.99</v>
      </c>
      <c r="F1151" s="32" t="s">
        <v>173</v>
      </c>
      <c r="G1151" s="32">
        <v>9.4291999999999998</v>
      </c>
      <c r="H1151" s="32">
        <v>8.9200000000000002E-2</v>
      </c>
      <c r="I1151" s="32" t="s">
        <v>174</v>
      </c>
      <c r="J1151" s="32">
        <v>1</v>
      </c>
      <c r="K1151" s="32" t="s">
        <v>183</v>
      </c>
      <c r="L1151" s="18">
        <f t="shared" si="17"/>
        <v>999999999</v>
      </c>
    </row>
    <row r="1152" spans="1:12" ht="15" customHeight="1" x14ac:dyDescent="0.25">
      <c r="A1152" s="32" t="s">
        <v>182</v>
      </c>
      <c r="B1152" s="32" t="s">
        <v>52</v>
      </c>
      <c r="C1152" s="32" t="s">
        <v>154</v>
      </c>
      <c r="D1152" s="32">
        <v>100</v>
      </c>
      <c r="E1152" s="32">
        <v>299.99</v>
      </c>
      <c r="F1152" s="32" t="s">
        <v>173</v>
      </c>
      <c r="G1152" s="32">
        <v>13.3872</v>
      </c>
      <c r="H1152" s="32">
        <v>9.0800000000000006E-2</v>
      </c>
      <c r="I1152" s="32" t="s">
        <v>174</v>
      </c>
      <c r="J1152" s="32">
        <v>1</v>
      </c>
      <c r="K1152" s="32" t="s">
        <v>183</v>
      </c>
      <c r="L1152" s="18">
        <f t="shared" si="17"/>
        <v>999999999</v>
      </c>
    </row>
    <row r="1153" spans="1:12" ht="15" customHeight="1" x14ac:dyDescent="0.25">
      <c r="A1153" s="32" t="s">
        <v>182</v>
      </c>
      <c r="B1153" s="32" t="s">
        <v>52</v>
      </c>
      <c r="C1153" s="32" t="s">
        <v>154</v>
      </c>
      <c r="D1153" s="32">
        <v>70.510000000000005</v>
      </c>
      <c r="E1153" s="32">
        <v>99.99</v>
      </c>
      <c r="F1153" s="32" t="s">
        <v>173</v>
      </c>
      <c r="G1153" s="32">
        <v>9.7416</v>
      </c>
      <c r="H1153" s="32">
        <v>9.3600000000000003E-2</v>
      </c>
      <c r="I1153" s="32" t="s">
        <v>174</v>
      </c>
      <c r="J1153" s="32">
        <v>1</v>
      </c>
      <c r="K1153" s="32" t="s">
        <v>183</v>
      </c>
      <c r="L1153" s="18">
        <f t="shared" si="17"/>
        <v>999999999</v>
      </c>
    </row>
    <row r="1154" spans="1:12" ht="15" customHeight="1" x14ac:dyDescent="0.25">
      <c r="A1154" s="32" t="s">
        <v>182</v>
      </c>
      <c r="B1154" s="32" t="s">
        <v>52</v>
      </c>
      <c r="C1154" s="32" t="s">
        <v>154</v>
      </c>
      <c r="D1154" s="32">
        <v>0.01</v>
      </c>
      <c r="E1154" s="32">
        <v>0.5</v>
      </c>
      <c r="F1154" s="32" t="s">
        <v>173</v>
      </c>
      <c r="G1154" s="32">
        <v>1.43</v>
      </c>
      <c r="H1154" s="32">
        <v>0.43</v>
      </c>
      <c r="I1154" s="32" t="s">
        <v>174</v>
      </c>
      <c r="J1154" s="32">
        <v>1</v>
      </c>
      <c r="K1154" s="32" t="s">
        <v>183</v>
      </c>
      <c r="L1154" s="18">
        <f t="shared" ref="L1154:L1217" si="18">IF(AND(B1154=Quote_Port,D1154&lt;=Quote_Weight,Quote_Weight&lt;=E1154,OR(Quote_2Day="No",J1154&lt;=2)),MAX(G1154,Quote_Weight*H1154)*Quote_USDINR,999999999)</f>
        <v>999999999</v>
      </c>
    </row>
    <row r="1155" spans="1:12" ht="15" customHeight="1" x14ac:dyDescent="0.25">
      <c r="A1155" s="32" t="s">
        <v>182</v>
      </c>
      <c r="B1155" s="32" t="s">
        <v>52</v>
      </c>
      <c r="C1155" s="32" t="s">
        <v>154</v>
      </c>
      <c r="D1155" s="32">
        <v>0.51</v>
      </c>
      <c r="E1155" s="32">
        <v>1</v>
      </c>
      <c r="F1155" s="32" t="s">
        <v>173</v>
      </c>
      <c r="G1155" s="32">
        <v>1.43</v>
      </c>
      <c r="H1155" s="32">
        <v>0.43</v>
      </c>
      <c r="I1155" s="32" t="s">
        <v>174</v>
      </c>
      <c r="J1155" s="32">
        <v>1</v>
      </c>
      <c r="K1155" s="32" t="s">
        <v>183</v>
      </c>
      <c r="L1155" s="18">
        <f t="shared" si="18"/>
        <v>999999999</v>
      </c>
    </row>
    <row r="1156" spans="1:12" ht="15" customHeight="1" x14ac:dyDescent="0.25">
      <c r="A1156" s="32" t="s">
        <v>182</v>
      </c>
      <c r="B1156" s="32" t="s">
        <v>52</v>
      </c>
      <c r="C1156" s="32" t="s">
        <v>154</v>
      </c>
      <c r="D1156" s="32">
        <v>0.01</v>
      </c>
      <c r="E1156" s="32">
        <v>0.5</v>
      </c>
      <c r="F1156" s="32" t="s">
        <v>173</v>
      </c>
      <c r="G1156" s="32">
        <v>1.4512</v>
      </c>
      <c r="H1156" s="32">
        <v>0.45119999999999999</v>
      </c>
      <c r="I1156" s="32" t="s">
        <v>174</v>
      </c>
      <c r="J1156" s="32">
        <v>1</v>
      </c>
      <c r="K1156" s="32" t="s">
        <v>183</v>
      </c>
      <c r="L1156" s="18">
        <f t="shared" si="18"/>
        <v>999999999</v>
      </c>
    </row>
    <row r="1157" spans="1:12" ht="15" customHeight="1" x14ac:dyDescent="0.25">
      <c r="A1157" s="32" t="s">
        <v>182</v>
      </c>
      <c r="B1157" s="32" t="s">
        <v>52</v>
      </c>
      <c r="C1157" s="32" t="s">
        <v>154</v>
      </c>
      <c r="D1157" s="32">
        <v>0.51</v>
      </c>
      <c r="E1157" s="32">
        <v>1</v>
      </c>
      <c r="F1157" s="32" t="s">
        <v>173</v>
      </c>
      <c r="G1157" s="32">
        <v>1.4512</v>
      </c>
      <c r="H1157" s="32">
        <v>0.45119999999999999</v>
      </c>
      <c r="I1157" s="32" t="s">
        <v>174</v>
      </c>
      <c r="J1157" s="32">
        <v>1</v>
      </c>
      <c r="K1157" s="32" t="s">
        <v>183</v>
      </c>
      <c r="L1157" s="18">
        <f t="shared" si="18"/>
        <v>999999999</v>
      </c>
    </row>
    <row r="1158" spans="1:12" ht="15" customHeight="1" x14ac:dyDescent="0.25">
      <c r="A1158" s="32" t="s">
        <v>182</v>
      </c>
      <c r="B1158" s="32" t="s">
        <v>52</v>
      </c>
      <c r="C1158" s="32" t="s">
        <v>154</v>
      </c>
      <c r="D1158" s="32">
        <v>1.01</v>
      </c>
      <c r="E1158" s="32">
        <v>1.5</v>
      </c>
      <c r="F1158" s="32" t="s">
        <v>173</v>
      </c>
      <c r="G1158" s="32">
        <v>1.4512</v>
      </c>
      <c r="H1158" s="32">
        <v>0.45119999999999999</v>
      </c>
      <c r="I1158" s="32" t="s">
        <v>174</v>
      </c>
      <c r="J1158" s="32">
        <v>1</v>
      </c>
      <c r="K1158" s="32" t="s">
        <v>183</v>
      </c>
      <c r="L1158" s="18">
        <f t="shared" si="18"/>
        <v>999999999</v>
      </c>
    </row>
    <row r="1159" spans="1:12" ht="15" customHeight="1" x14ac:dyDescent="0.25">
      <c r="A1159" s="32" t="s">
        <v>182</v>
      </c>
      <c r="B1159" s="32" t="s">
        <v>52</v>
      </c>
      <c r="C1159" s="32" t="s">
        <v>154</v>
      </c>
      <c r="D1159" s="32">
        <v>1.51</v>
      </c>
      <c r="E1159" s="32">
        <v>2</v>
      </c>
      <c r="F1159" s="32" t="s">
        <v>173</v>
      </c>
      <c r="G1159" s="32">
        <v>1.4512</v>
      </c>
      <c r="H1159" s="32">
        <v>0.45119999999999999</v>
      </c>
      <c r="I1159" s="32" t="s">
        <v>174</v>
      </c>
      <c r="J1159" s="32">
        <v>1</v>
      </c>
      <c r="K1159" s="32" t="s">
        <v>183</v>
      </c>
      <c r="L1159" s="18">
        <f t="shared" si="18"/>
        <v>999999999</v>
      </c>
    </row>
    <row r="1160" spans="1:12" ht="15" customHeight="1" x14ac:dyDescent="0.25">
      <c r="A1160" s="32" t="s">
        <v>182</v>
      </c>
      <c r="B1160" s="32" t="s">
        <v>52</v>
      </c>
      <c r="C1160" s="32" t="s">
        <v>154</v>
      </c>
      <c r="D1160" s="32">
        <v>2.0099999999999998</v>
      </c>
      <c r="E1160" s="32">
        <v>2.5</v>
      </c>
      <c r="F1160" s="32" t="s">
        <v>173</v>
      </c>
      <c r="G1160" s="32">
        <v>1.4512</v>
      </c>
      <c r="H1160" s="32">
        <v>0.45119999999999999</v>
      </c>
      <c r="I1160" s="32" t="s">
        <v>174</v>
      </c>
      <c r="J1160" s="32">
        <v>1</v>
      </c>
      <c r="K1160" s="32" t="s">
        <v>183</v>
      </c>
      <c r="L1160" s="18">
        <f t="shared" si="18"/>
        <v>999999999</v>
      </c>
    </row>
    <row r="1161" spans="1:12" ht="15" customHeight="1" x14ac:dyDescent="0.25">
      <c r="A1161" s="32" t="s">
        <v>182</v>
      </c>
      <c r="B1161" s="32" t="s">
        <v>52</v>
      </c>
      <c r="C1161" s="32" t="s">
        <v>154</v>
      </c>
      <c r="D1161" s="32">
        <v>1.01</v>
      </c>
      <c r="E1161" s="32">
        <v>1.5</v>
      </c>
      <c r="F1161" s="32" t="s">
        <v>173</v>
      </c>
      <c r="G1161" s="32">
        <v>1.522</v>
      </c>
      <c r="H1161" s="32">
        <v>0.52200000000000002</v>
      </c>
      <c r="I1161" s="32" t="s">
        <v>174</v>
      </c>
      <c r="J1161" s="32">
        <v>1</v>
      </c>
      <c r="K1161" s="32" t="s">
        <v>183</v>
      </c>
      <c r="L1161" s="18">
        <f t="shared" si="18"/>
        <v>999999999</v>
      </c>
    </row>
    <row r="1162" spans="1:12" ht="15" customHeight="1" x14ac:dyDescent="0.25">
      <c r="A1162" s="32" t="s">
        <v>182</v>
      </c>
      <c r="B1162" s="32" t="s">
        <v>52</v>
      </c>
      <c r="C1162" s="32" t="s">
        <v>154</v>
      </c>
      <c r="D1162" s="32">
        <v>1.51</v>
      </c>
      <c r="E1162" s="32">
        <v>2</v>
      </c>
      <c r="F1162" s="32" t="s">
        <v>173</v>
      </c>
      <c r="G1162" s="32">
        <v>1.6140000000000001</v>
      </c>
      <c r="H1162" s="32">
        <v>0.61399999999999999</v>
      </c>
      <c r="I1162" s="32" t="s">
        <v>174</v>
      </c>
      <c r="J1162" s="32">
        <v>1</v>
      </c>
      <c r="K1162" s="32" t="s">
        <v>183</v>
      </c>
      <c r="L1162" s="18">
        <f t="shared" si="18"/>
        <v>999999999</v>
      </c>
    </row>
    <row r="1163" spans="1:12" ht="15" customHeight="1" x14ac:dyDescent="0.25">
      <c r="A1163" s="32" t="s">
        <v>182</v>
      </c>
      <c r="B1163" s="32" t="s">
        <v>52</v>
      </c>
      <c r="C1163" s="32" t="s">
        <v>154</v>
      </c>
      <c r="D1163" s="32">
        <v>2.0099999999999998</v>
      </c>
      <c r="E1163" s="32">
        <v>2.5</v>
      </c>
      <c r="F1163" s="32" t="s">
        <v>173</v>
      </c>
      <c r="G1163" s="32">
        <v>1.7063999999999999</v>
      </c>
      <c r="H1163" s="32">
        <v>0.70640000000000003</v>
      </c>
      <c r="I1163" s="32" t="s">
        <v>174</v>
      </c>
      <c r="J1163" s="32">
        <v>1</v>
      </c>
      <c r="K1163" s="32" t="s">
        <v>183</v>
      </c>
      <c r="L1163" s="18">
        <f t="shared" si="18"/>
        <v>999999999</v>
      </c>
    </row>
    <row r="1164" spans="1:12" ht="15" customHeight="1" x14ac:dyDescent="0.25">
      <c r="A1164" s="32" t="s">
        <v>186</v>
      </c>
      <c r="B1164" s="32" t="s">
        <v>52</v>
      </c>
      <c r="C1164" s="32" t="s">
        <v>154</v>
      </c>
      <c r="D1164" s="32">
        <v>75.010000000000005</v>
      </c>
      <c r="E1164" s="32">
        <v>99999.99</v>
      </c>
      <c r="F1164" s="32" t="s">
        <v>173</v>
      </c>
      <c r="G1164" s="32">
        <v>11.2216</v>
      </c>
      <c r="H1164" s="32">
        <v>9.6000000000000002E-2</v>
      </c>
      <c r="I1164" s="32" t="s">
        <v>174</v>
      </c>
      <c r="J1164" s="32">
        <v>1</v>
      </c>
      <c r="K1164" s="32" t="s">
        <v>183</v>
      </c>
      <c r="L1164" s="18">
        <f t="shared" si="18"/>
        <v>999999999</v>
      </c>
    </row>
    <row r="1165" spans="1:12" ht="15" customHeight="1" x14ac:dyDescent="0.25">
      <c r="A1165" s="32" t="s">
        <v>186</v>
      </c>
      <c r="B1165" s="32" t="s">
        <v>52</v>
      </c>
      <c r="C1165" s="32" t="s">
        <v>154</v>
      </c>
      <c r="D1165" s="32">
        <v>0</v>
      </c>
      <c r="E1165" s="32">
        <v>0.5</v>
      </c>
      <c r="F1165" s="32" t="s">
        <v>173</v>
      </c>
      <c r="G1165" s="32">
        <v>1.4356</v>
      </c>
      <c r="H1165" s="32">
        <v>0.43559999999999999</v>
      </c>
      <c r="I1165" s="32" t="s">
        <v>174</v>
      </c>
      <c r="J1165" s="32">
        <v>1</v>
      </c>
      <c r="K1165" s="32" t="s">
        <v>183</v>
      </c>
      <c r="L1165" s="18">
        <f t="shared" si="18"/>
        <v>999999999</v>
      </c>
    </row>
    <row r="1166" spans="1:12" ht="15" customHeight="1" x14ac:dyDescent="0.25">
      <c r="A1166" s="32" t="s">
        <v>186</v>
      </c>
      <c r="B1166" s="32" t="s">
        <v>52</v>
      </c>
      <c r="C1166" s="32" t="s">
        <v>154</v>
      </c>
      <c r="D1166" s="32">
        <v>0.51</v>
      </c>
      <c r="E1166" s="32">
        <v>1</v>
      </c>
      <c r="F1166" s="32" t="s">
        <v>173</v>
      </c>
      <c r="G1166" s="32">
        <v>1.4767999999999999</v>
      </c>
      <c r="H1166" s="32">
        <v>0.4768</v>
      </c>
      <c r="I1166" s="32" t="s">
        <v>174</v>
      </c>
      <c r="J1166" s="32">
        <v>1</v>
      </c>
      <c r="K1166" s="32" t="s">
        <v>183</v>
      </c>
      <c r="L1166" s="18">
        <f t="shared" si="18"/>
        <v>999999999</v>
      </c>
    </row>
    <row r="1167" spans="1:12" ht="15" customHeight="1" x14ac:dyDescent="0.25">
      <c r="A1167" s="32" t="s">
        <v>186</v>
      </c>
      <c r="B1167" s="32" t="s">
        <v>52</v>
      </c>
      <c r="C1167" s="32" t="s">
        <v>154</v>
      </c>
      <c r="D1167" s="32">
        <v>1.01</v>
      </c>
      <c r="E1167" s="32">
        <v>1.5</v>
      </c>
      <c r="F1167" s="32" t="s">
        <v>173</v>
      </c>
      <c r="G1167" s="32">
        <v>1.5147999999999999</v>
      </c>
      <c r="H1167" s="32">
        <v>0.51480000000000004</v>
      </c>
      <c r="I1167" s="32" t="s">
        <v>174</v>
      </c>
      <c r="J1167" s="32">
        <v>1</v>
      </c>
      <c r="K1167" s="32" t="s">
        <v>183</v>
      </c>
      <c r="L1167" s="18">
        <f t="shared" si="18"/>
        <v>999999999</v>
      </c>
    </row>
    <row r="1168" spans="1:12" ht="15" customHeight="1" x14ac:dyDescent="0.25">
      <c r="A1168" s="32" t="s">
        <v>186</v>
      </c>
      <c r="B1168" s="32" t="s">
        <v>52</v>
      </c>
      <c r="C1168" s="32" t="s">
        <v>154</v>
      </c>
      <c r="D1168" s="32">
        <v>1.51</v>
      </c>
      <c r="E1168" s="32">
        <v>2</v>
      </c>
      <c r="F1168" s="32" t="s">
        <v>173</v>
      </c>
      <c r="G1168" s="32">
        <v>1.5516000000000001</v>
      </c>
      <c r="H1168" s="32">
        <v>0.55159999999999998</v>
      </c>
      <c r="I1168" s="32" t="s">
        <v>174</v>
      </c>
      <c r="J1168" s="32">
        <v>1</v>
      </c>
      <c r="K1168" s="32" t="s">
        <v>183</v>
      </c>
      <c r="L1168" s="18">
        <f t="shared" si="18"/>
        <v>999999999</v>
      </c>
    </row>
    <row r="1169" spans="1:12" ht="15" customHeight="1" x14ac:dyDescent="0.25">
      <c r="A1169" s="32" t="s">
        <v>186</v>
      </c>
      <c r="B1169" s="32" t="s">
        <v>52</v>
      </c>
      <c r="C1169" s="32" t="s">
        <v>154</v>
      </c>
      <c r="D1169" s="32">
        <v>2.0099999999999998</v>
      </c>
      <c r="E1169" s="32">
        <v>2.5</v>
      </c>
      <c r="F1169" s="32" t="s">
        <v>173</v>
      </c>
      <c r="G1169" s="32">
        <v>1.5860000000000001</v>
      </c>
      <c r="H1169" s="32">
        <v>0.58599999999999997</v>
      </c>
      <c r="I1169" s="32" t="s">
        <v>174</v>
      </c>
      <c r="J1169" s="32">
        <v>1</v>
      </c>
      <c r="K1169" s="32" t="s">
        <v>183</v>
      </c>
      <c r="L1169" s="18">
        <f t="shared" si="18"/>
        <v>999999999</v>
      </c>
    </row>
    <row r="1170" spans="1:12" ht="15" customHeight="1" x14ac:dyDescent="0.25">
      <c r="A1170" s="32" t="s">
        <v>186</v>
      </c>
      <c r="B1170" s="32" t="s">
        <v>52</v>
      </c>
      <c r="C1170" s="32" t="s">
        <v>154</v>
      </c>
      <c r="D1170" s="32">
        <v>2.5099999999999998</v>
      </c>
      <c r="E1170" s="32">
        <v>3</v>
      </c>
      <c r="F1170" s="32" t="s">
        <v>173</v>
      </c>
      <c r="G1170" s="32">
        <v>1.6204000000000001</v>
      </c>
      <c r="H1170" s="32">
        <v>0.62039999999999995</v>
      </c>
      <c r="I1170" s="32" t="s">
        <v>174</v>
      </c>
      <c r="J1170" s="32">
        <v>1</v>
      </c>
      <c r="K1170" s="32" t="s">
        <v>183</v>
      </c>
      <c r="L1170" s="18">
        <f t="shared" si="18"/>
        <v>999999999</v>
      </c>
    </row>
    <row r="1171" spans="1:12" ht="15" customHeight="1" x14ac:dyDescent="0.25">
      <c r="A1171" s="32" t="s">
        <v>186</v>
      </c>
      <c r="B1171" s="32" t="s">
        <v>52</v>
      </c>
      <c r="C1171" s="32" t="s">
        <v>154</v>
      </c>
      <c r="D1171" s="32">
        <v>3.01</v>
      </c>
      <c r="E1171" s="32">
        <v>3.5</v>
      </c>
      <c r="F1171" s="32" t="s">
        <v>173</v>
      </c>
      <c r="G1171" s="32">
        <v>1.6539999999999999</v>
      </c>
      <c r="H1171" s="32">
        <v>0.65400000000000003</v>
      </c>
      <c r="I1171" s="32" t="s">
        <v>174</v>
      </c>
      <c r="J1171" s="32">
        <v>1</v>
      </c>
      <c r="K1171" s="32" t="s">
        <v>183</v>
      </c>
      <c r="L1171" s="18">
        <f t="shared" si="18"/>
        <v>999999999</v>
      </c>
    </row>
    <row r="1172" spans="1:12" ht="15" customHeight="1" x14ac:dyDescent="0.25">
      <c r="A1172" s="32" t="s">
        <v>186</v>
      </c>
      <c r="B1172" s="32" t="s">
        <v>52</v>
      </c>
      <c r="C1172" s="32" t="s">
        <v>154</v>
      </c>
      <c r="D1172" s="32">
        <v>3.51</v>
      </c>
      <c r="E1172" s="32">
        <v>4</v>
      </c>
      <c r="F1172" s="32" t="s">
        <v>173</v>
      </c>
      <c r="G1172" s="32">
        <v>1.6883999999999999</v>
      </c>
      <c r="H1172" s="32">
        <v>0.68840000000000001</v>
      </c>
      <c r="I1172" s="32" t="s">
        <v>174</v>
      </c>
      <c r="J1172" s="32">
        <v>1</v>
      </c>
      <c r="K1172" s="32" t="s">
        <v>183</v>
      </c>
      <c r="L1172" s="18">
        <f t="shared" si="18"/>
        <v>999999999</v>
      </c>
    </row>
    <row r="1173" spans="1:12" ht="15" customHeight="1" x14ac:dyDescent="0.25">
      <c r="A1173" s="32" t="s">
        <v>186</v>
      </c>
      <c r="B1173" s="32" t="s">
        <v>52</v>
      </c>
      <c r="C1173" s="32" t="s">
        <v>154</v>
      </c>
      <c r="D1173" s="32">
        <v>4.01</v>
      </c>
      <c r="E1173" s="32">
        <v>4.5</v>
      </c>
      <c r="F1173" s="32" t="s">
        <v>173</v>
      </c>
      <c r="G1173" s="32">
        <v>1.7228000000000001</v>
      </c>
      <c r="H1173" s="32">
        <v>0.7228</v>
      </c>
      <c r="I1173" s="32" t="s">
        <v>174</v>
      </c>
      <c r="J1173" s="32">
        <v>1</v>
      </c>
      <c r="K1173" s="32" t="s">
        <v>183</v>
      </c>
      <c r="L1173" s="18">
        <f t="shared" si="18"/>
        <v>999999999</v>
      </c>
    </row>
    <row r="1174" spans="1:12" ht="15" customHeight="1" x14ac:dyDescent="0.25">
      <c r="A1174" s="32" t="s">
        <v>186</v>
      </c>
      <c r="B1174" s="32" t="s">
        <v>52</v>
      </c>
      <c r="C1174" s="32" t="s">
        <v>154</v>
      </c>
      <c r="D1174" s="32">
        <v>4.51</v>
      </c>
      <c r="E1174" s="32">
        <v>5</v>
      </c>
      <c r="F1174" s="32" t="s">
        <v>173</v>
      </c>
      <c r="G1174" s="32">
        <v>1.7567999999999999</v>
      </c>
      <c r="H1174" s="32">
        <v>0.75680000000000003</v>
      </c>
      <c r="I1174" s="32" t="s">
        <v>174</v>
      </c>
      <c r="J1174" s="32">
        <v>1</v>
      </c>
      <c r="K1174" s="32" t="s">
        <v>183</v>
      </c>
      <c r="L1174" s="18">
        <f t="shared" si="18"/>
        <v>999999999</v>
      </c>
    </row>
    <row r="1175" spans="1:12" ht="15" customHeight="1" x14ac:dyDescent="0.25">
      <c r="A1175" s="32" t="s">
        <v>186</v>
      </c>
      <c r="B1175" s="32" t="s">
        <v>52</v>
      </c>
      <c r="C1175" s="32" t="s">
        <v>154</v>
      </c>
      <c r="D1175" s="32">
        <v>5.01</v>
      </c>
      <c r="E1175" s="32">
        <v>5.5</v>
      </c>
      <c r="F1175" s="32" t="s">
        <v>173</v>
      </c>
      <c r="G1175" s="32">
        <v>1.7871999999999999</v>
      </c>
      <c r="H1175" s="32">
        <v>0.78720000000000001</v>
      </c>
      <c r="I1175" s="32" t="s">
        <v>174</v>
      </c>
      <c r="J1175" s="32">
        <v>1</v>
      </c>
      <c r="K1175" s="32" t="s">
        <v>183</v>
      </c>
      <c r="L1175" s="18">
        <f t="shared" si="18"/>
        <v>999999999</v>
      </c>
    </row>
    <row r="1176" spans="1:12" ht="15" customHeight="1" x14ac:dyDescent="0.25">
      <c r="A1176" s="32" t="s">
        <v>186</v>
      </c>
      <c r="B1176" s="32" t="s">
        <v>52</v>
      </c>
      <c r="C1176" s="32" t="s">
        <v>154</v>
      </c>
      <c r="D1176" s="32">
        <v>5.51</v>
      </c>
      <c r="E1176" s="32">
        <v>6</v>
      </c>
      <c r="F1176" s="32" t="s">
        <v>173</v>
      </c>
      <c r="G1176" s="32">
        <v>1.8176000000000001</v>
      </c>
      <c r="H1176" s="32">
        <v>0.81759999999999999</v>
      </c>
      <c r="I1176" s="32" t="s">
        <v>174</v>
      </c>
      <c r="J1176" s="32">
        <v>1</v>
      </c>
      <c r="K1176" s="32" t="s">
        <v>183</v>
      </c>
      <c r="L1176" s="18">
        <f t="shared" si="18"/>
        <v>999999999</v>
      </c>
    </row>
    <row r="1177" spans="1:12" ht="15" customHeight="1" x14ac:dyDescent="0.25">
      <c r="A1177" s="32" t="s">
        <v>186</v>
      </c>
      <c r="B1177" s="32" t="s">
        <v>52</v>
      </c>
      <c r="C1177" s="32" t="s">
        <v>154</v>
      </c>
      <c r="D1177" s="32">
        <v>6.01</v>
      </c>
      <c r="E1177" s="32">
        <v>6.5</v>
      </c>
      <c r="F1177" s="32" t="s">
        <v>173</v>
      </c>
      <c r="G1177" s="32">
        <v>1.8480000000000001</v>
      </c>
      <c r="H1177" s="32">
        <v>0.84799999999999998</v>
      </c>
      <c r="I1177" s="32" t="s">
        <v>174</v>
      </c>
      <c r="J1177" s="32">
        <v>1</v>
      </c>
      <c r="K1177" s="32" t="s">
        <v>183</v>
      </c>
      <c r="L1177" s="18">
        <f t="shared" si="18"/>
        <v>999999999</v>
      </c>
    </row>
    <row r="1178" spans="1:12" ht="15" customHeight="1" x14ac:dyDescent="0.25">
      <c r="A1178" s="32" t="s">
        <v>186</v>
      </c>
      <c r="B1178" s="32" t="s">
        <v>52</v>
      </c>
      <c r="C1178" s="32" t="s">
        <v>154</v>
      </c>
      <c r="D1178" s="32">
        <v>6.51</v>
      </c>
      <c r="E1178" s="32">
        <v>7</v>
      </c>
      <c r="F1178" s="32" t="s">
        <v>173</v>
      </c>
      <c r="G1178" s="32">
        <v>1.8784000000000001</v>
      </c>
      <c r="H1178" s="32">
        <v>0.87839999999999996</v>
      </c>
      <c r="I1178" s="32" t="s">
        <v>174</v>
      </c>
      <c r="J1178" s="32">
        <v>1</v>
      </c>
      <c r="K1178" s="32" t="s">
        <v>183</v>
      </c>
      <c r="L1178" s="18">
        <f t="shared" si="18"/>
        <v>999999999</v>
      </c>
    </row>
    <row r="1179" spans="1:12" ht="15" customHeight="1" x14ac:dyDescent="0.25">
      <c r="A1179" s="32" t="s">
        <v>186</v>
      </c>
      <c r="B1179" s="32" t="s">
        <v>52</v>
      </c>
      <c r="C1179" s="32" t="s">
        <v>154</v>
      </c>
      <c r="D1179" s="32">
        <v>7.01</v>
      </c>
      <c r="E1179" s="32">
        <v>7.5</v>
      </c>
      <c r="F1179" s="32" t="s">
        <v>173</v>
      </c>
      <c r="G1179" s="32">
        <v>1.9088000000000001</v>
      </c>
      <c r="H1179" s="32">
        <v>0.90880000000000005</v>
      </c>
      <c r="I1179" s="32" t="s">
        <v>174</v>
      </c>
      <c r="J1179" s="32">
        <v>1</v>
      </c>
      <c r="K1179" s="32" t="s">
        <v>183</v>
      </c>
      <c r="L1179" s="18">
        <f t="shared" si="18"/>
        <v>999999999</v>
      </c>
    </row>
    <row r="1180" spans="1:12" ht="15" customHeight="1" x14ac:dyDescent="0.25">
      <c r="A1180" s="32" t="s">
        <v>186</v>
      </c>
      <c r="B1180" s="32" t="s">
        <v>52</v>
      </c>
      <c r="C1180" s="32" t="s">
        <v>154</v>
      </c>
      <c r="D1180" s="32">
        <v>7.51</v>
      </c>
      <c r="E1180" s="32">
        <v>8</v>
      </c>
      <c r="F1180" s="32" t="s">
        <v>173</v>
      </c>
      <c r="G1180" s="32">
        <v>1.9392</v>
      </c>
      <c r="H1180" s="32">
        <v>0.93920000000000003</v>
      </c>
      <c r="I1180" s="32" t="s">
        <v>174</v>
      </c>
      <c r="J1180" s="32">
        <v>1</v>
      </c>
      <c r="K1180" s="32" t="s">
        <v>183</v>
      </c>
      <c r="L1180" s="18">
        <f t="shared" si="18"/>
        <v>999999999</v>
      </c>
    </row>
    <row r="1181" spans="1:12" ht="15" customHeight="1" x14ac:dyDescent="0.25">
      <c r="A1181" s="32" t="s">
        <v>186</v>
      </c>
      <c r="B1181" s="32" t="s">
        <v>52</v>
      </c>
      <c r="C1181" s="32" t="s">
        <v>154</v>
      </c>
      <c r="D1181" s="32">
        <v>8.01</v>
      </c>
      <c r="E1181" s="32">
        <v>8.5</v>
      </c>
      <c r="F1181" s="32" t="s">
        <v>173</v>
      </c>
      <c r="G1181" s="32">
        <v>1.9696</v>
      </c>
      <c r="H1181" s="32">
        <v>0.96960000000000002</v>
      </c>
      <c r="I1181" s="32" t="s">
        <v>174</v>
      </c>
      <c r="J1181" s="32">
        <v>1</v>
      </c>
      <c r="K1181" s="32" t="s">
        <v>183</v>
      </c>
      <c r="L1181" s="18">
        <f t="shared" si="18"/>
        <v>999999999</v>
      </c>
    </row>
    <row r="1182" spans="1:12" ht="15" customHeight="1" x14ac:dyDescent="0.25">
      <c r="A1182" s="32" t="s">
        <v>186</v>
      </c>
      <c r="B1182" s="32" t="s">
        <v>52</v>
      </c>
      <c r="C1182" s="32" t="s">
        <v>154</v>
      </c>
      <c r="D1182" s="32">
        <v>8.51</v>
      </c>
      <c r="E1182" s="32">
        <v>9</v>
      </c>
      <c r="F1182" s="32" t="s">
        <v>173</v>
      </c>
      <c r="G1182" s="32">
        <v>2</v>
      </c>
      <c r="H1182" s="32">
        <v>1</v>
      </c>
      <c r="I1182" s="32" t="s">
        <v>174</v>
      </c>
      <c r="J1182" s="32">
        <v>1</v>
      </c>
      <c r="K1182" s="32" t="s">
        <v>183</v>
      </c>
      <c r="L1182" s="18">
        <f t="shared" si="18"/>
        <v>999999999</v>
      </c>
    </row>
    <row r="1183" spans="1:12" ht="15" customHeight="1" x14ac:dyDescent="0.25">
      <c r="A1183" s="32" t="s">
        <v>186</v>
      </c>
      <c r="B1183" s="32" t="s">
        <v>52</v>
      </c>
      <c r="C1183" s="32" t="s">
        <v>154</v>
      </c>
      <c r="D1183" s="32">
        <v>25.51</v>
      </c>
      <c r="E1183" s="32">
        <v>26</v>
      </c>
      <c r="F1183" s="32" t="s">
        <v>173</v>
      </c>
      <c r="G1183" s="32">
        <v>5.0167999999999999</v>
      </c>
      <c r="H1183" s="32">
        <v>1.0167999999999999</v>
      </c>
      <c r="I1183" s="32" t="s">
        <v>174</v>
      </c>
      <c r="J1183" s="32">
        <v>1</v>
      </c>
      <c r="K1183" s="32" t="s">
        <v>183</v>
      </c>
      <c r="L1183" s="18">
        <f t="shared" si="18"/>
        <v>999999999</v>
      </c>
    </row>
    <row r="1184" spans="1:12" ht="15" customHeight="1" x14ac:dyDescent="0.25">
      <c r="A1184" s="32" t="s">
        <v>186</v>
      </c>
      <c r="B1184" s="32" t="s">
        <v>52</v>
      </c>
      <c r="C1184" s="32" t="s">
        <v>154</v>
      </c>
      <c r="D1184" s="32">
        <v>9.01</v>
      </c>
      <c r="E1184" s="32">
        <v>9.5</v>
      </c>
      <c r="F1184" s="32" t="s">
        <v>173</v>
      </c>
      <c r="G1184" s="32">
        <v>3.0304000000000002</v>
      </c>
      <c r="H1184" s="32">
        <v>1.0304</v>
      </c>
      <c r="I1184" s="32" t="s">
        <v>174</v>
      </c>
      <c r="J1184" s="32">
        <v>1</v>
      </c>
      <c r="K1184" s="32" t="s">
        <v>183</v>
      </c>
      <c r="L1184" s="18">
        <f t="shared" si="18"/>
        <v>999999999</v>
      </c>
    </row>
    <row r="1185" spans="1:12" ht="15" customHeight="1" x14ac:dyDescent="0.25">
      <c r="A1185" s="32" t="s">
        <v>186</v>
      </c>
      <c r="B1185" s="32" t="s">
        <v>52</v>
      </c>
      <c r="C1185" s="32" t="s">
        <v>154</v>
      </c>
      <c r="D1185" s="32">
        <v>9.51</v>
      </c>
      <c r="E1185" s="32">
        <v>10</v>
      </c>
      <c r="F1185" s="32" t="s">
        <v>173</v>
      </c>
      <c r="G1185" s="32">
        <v>3.0608</v>
      </c>
      <c r="H1185" s="32">
        <v>1.0608</v>
      </c>
      <c r="I1185" s="32" t="s">
        <v>174</v>
      </c>
      <c r="J1185" s="32">
        <v>1</v>
      </c>
      <c r="K1185" s="32" t="s">
        <v>183</v>
      </c>
      <c r="L1185" s="18">
        <f t="shared" si="18"/>
        <v>999999999</v>
      </c>
    </row>
    <row r="1186" spans="1:12" ht="15" customHeight="1" x14ac:dyDescent="0.25">
      <c r="A1186" s="32" t="s">
        <v>186</v>
      </c>
      <c r="B1186" s="32" t="s">
        <v>52</v>
      </c>
      <c r="C1186" s="32" t="s">
        <v>154</v>
      </c>
      <c r="D1186" s="32">
        <v>10.01</v>
      </c>
      <c r="E1186" s="32">
        <v>10.5</v>
      </c>
      <c r="F1186" s="32" t="s">
        <v>173</v>
      </c>
      <c r="G1186" s="32">
        <v>3.0903999999999998</v>
      </c>
      <c r="H1186" s="32">
        <v>1.0904</v>
      </c>
      <c r="I1186" s="32" t="s">
        <v>174</v>
      </c>
      <c r="J1186" s="32">
        <v>1</v>
      </c>
      <c r="K1186" s="32" t="s">
        <v>183</v>
      </c>
      <c r="L1186" s="18">
        <f t="shared" si="18"/>
        <v>999999999</v>
      </c>
    </row>
    <row r="1187" spans="1:12" ht="15" customHeight="1" x14ac:dyDescent="0.25">
      <c r="A1187" s="32" t="s">
        <v>186</v>
      </c>
      <c r="B1187" s="32" t="s">
        <v>52</v>
      </c>
      <c r="C1187" s="32" t="s">
        <v>154</v>
      </c>
      <c r="D1187" s="32">
        <v>10.51</v>
      </c>
      <c r="E1187" s="32">
        <v>11</v>
      </c>
      <c r="F1187" s="32" t="s">
        <v>173</v>
      </c>
      <c r="G1187" s="32">
        <v>3.12</v>
      </c>
      <c r="H1187" s="32">
        <v>1.1200000000000001</v>
      </c>
      <c r="I1187" s="32" t="s">
        <v>174</v>
      </c>
      <c r="J1187" s="32">
        <v>1</v>
      </c>
      <c r="K1187" s="32" t="s">
        <v>183</v>
      </c>
      <c r="L1187" s="18">
        <f t="shared" si="18"/>
        <v>999999999</v>
      </c>
    </row>
    <row r="1188" spans="1:12" ht="15" customHeight="1" x14ac:dyDescent="0.25">
      <c r="A1188" s="32" t="s">
        <v>186</v>
      </c>
      <c r="B1188" s="32" t="s">
        <v>52</v>
      </c>
      <c r="C1188" s="32" t="s">
        <v>154</v>
      </c>
      <c r="D1188" s="32">
        <v>27.51</v>
      </c>
      <c r="E1188" s="32">
        <v>28</v>
      </c>
      <c r="F1188" s="32" t="s">
        <v>173</v>
      </c>
      <c r="G1188" s="32">
        <v>5.1368</v>
      </c>
      <c r="H1188" s="32">
        <v>2.1368</v>
      </c>
      <c r="I1188" s="32" t="s">
        <v>174</v>
      </c>
      <c r="J1188" s="32">
        <v>1</v>
      </c>
      <c r="K1188" s="32" t="s">
        <v>183</v>
      </c>
      <c r="L1188" s="18">
        <f t="shared" si="18"/>
        <v>999999999</v>
      </c>
    </row>
    <row r="1189" spans="1:12" ht="15" customHeight="1" x14ac:dyDescent="0.25">
      <c r="A1189" s="32" t="s">
        <v>186</v>
      </c>
      <c r="B1189" s="32" t="s">
        <v>52</v>
      </c>
      <c r="C1189" s="32" t="s">
        <v>154</v>
      </c>
      <c r="D1189" s="32">
        <v>11.01</v>
      </c>
      <c r="E1189" s="32">
        <v>11.5</v>
      </c>
      <c r="F1189" s="32" t="s">
        <v>173</v>
      </c>
      <c r="G1189" s="32">
        <v>3.1496</v>
      </c>
      <c r="H1189" s="32">
        <v>1.1496</v>
      </c>
      <c r="I1189" s="32" t="s">
        <v>174</v>
      </c>
      <c r="J1189" s="32">
        <v>1</v>
      </c>
      <c r="K1189" s="32" t="s">
        <v>183</v>
      </c>
      <c r="L1189" s="18">
        <f t="shared" si="18"/>
        <v>999999999</v>
      </c>
    </row>
    <row r="1190" spans="1:12" ht="15" customHeight="1" x14ac:dyDescent="0.25">
      <c r="A1190" s="32" t="s">
        <v>186</v>
      </c>
      <c r="B1190" s="32" t="s">
        <v>52</v>
      </c>
      <c r="C1190" s="32" t="s">
        <v>154</v>
      </c>
      <c r="D1190" s="32">
        <v>11.51</v>
      </c>
      <c r="E1190" s="32">
        <v>12</v>
      </c>
      <c r="F1190" s="32" t="s">
        <v>173</v>
      </c>
      <c r="G1190" s="32">
        <v>3.1791999999999998</v>
      </c>
      <c r="H1190" s="32">
        <v>1.1792</v>
      </c>
      <c r="I1190" s="32" t="s">
        <v>174</v>
      </c>
      <c r="J1190" s="32">
        <v>1</v>
      </c>
      <c r="K1190" s="32" t="s">
        <v>183</v>
      </c>
      <c r="L1190" s="18">
        <f t="shared" si="18"/>
        <v>999999999</v>
      </c>
    </row>
    <row r="1191" spans="1:12" ht="15" customHeight="1" x14ac:dyDescent="0.25">
      <c r="A1191" s="32" t="s">
        <v>186</v>
      </c>
      <c r="B1191" s="32" t="s">
        <v>52</v>
      </c>
      <c r="C1191" s="32" t="s">
        <v>154</v>
      </c>
      <c r="D1191" s="32">
        <v>28.51</v>
      </c>
      <c r="E1191" s="32">
        <v>29</v>
      </c>
      <c r="F1191" s="32" t="s">
        <v>173</v>
      </c>
      <c r="G1191" s="32">
        <v>5.1967999999999996</v>
      </c>
      <c r="H1191" s="32">
        <v>3.1968000000000001</v>
      </c>
      <c r="I1191" s="32" t="s">
        <v>174</v>
      </c>
      <c r="J1191" s="32">
        <v>1</v>
      </c>
      <c r="K1191" s="32" t="s">
        <v>183</v>
      </c>
      <c r="L1191" s="18">
        <f t="shared" si="18"/>
        <v>999999999</v>
      </c>
    </row>
    <row r="1192" spans="1:12" ht="15" customHeight="1" x14ac:dyDescent="0.25">
      <c r="A1192" s="32" t="s">
        <v>186</v>
      </c>
      <c r="B1192" s="32" t="s">
        <v>52</v>
      </c>
      <c r="C1192" s="32" t="s">
        <v>154</v>
      </c>
      <c r="D1192" s="32">
        <v>12.01</v>
      </c>
      <c r="E1192" s="32">
        <v>12.5</v>
      </c>
      <c r="F1192" s="32" t="s">
        <v>173</v>
      </c>
      <c r="G1192" s="32">
        <v>3.2088000000000001</v>
      </c>
      <c r="H1192" s="32">
        <v>1.2088000000000001</v>
      </c>
      <c r="I1192" s="32" t="s">
        <v>174</v>
      </c>
      <c r="J1192" s="32">
        <v>1</v>
      </c>
      <c r="K1192" s="32" t="s">
        <v>183</v>
      </c>
      <c r="L1192" s="18">
        <f t="shared" si="18"/>
        <v>999999999</v>
      </c>
    </row>
    <row r="1193" spans="1:12" ht="15" customHeight="1" x14ac:dyDescent="0.25">
      <c r="A1193" s="32" t="s">
        <v>186</v>
      </c>
      <c r="B1193" s="32" t="s">
        <v>52</v>
      </c>
      <c r="C1193" s="32" t="s">
        <v>154</v>
      </c>
      <c r="D1193" s="32">
        <v>12.51</v>
      </c>
      <c r="E1193" s="32">
        <v>13</v>
      </c>
      <c r="F1193" s="32" t="s">
        <v>173</v>
      </c>
      <c r="G1193" s="32">
        <v>3.2383999999999999</v>
      </c>
      <c r="H1193" s="32">
        <v>1.2383999999999999</v>
      </c>
      <c r="I1193" s="32" t="s">
        <v>174</v>
      </c>
      <c r="J1193" s="32">
        <v>1</v>
      </c>
      <c r="K1193" s="32" t="s">
        <v>183</v>
      </c>
      <c r="L1193" s="18">
        <f t="shared" si="18"/>
        <v>999999999</v>
      </c>
    </row>
    <row r="1194" spans="1:12" ht="15" customHeight="1" x14ac:dyDescent="0.25">
      <c r="A1194" s="32" t="s">
        <v>186</v>
      </c>
      <c r="B1194" s="32" t="s">
        <v>52</v>
      </c>
      <c r="C1194" s="32" t="s">
        <v>154</v>
      </c>
      <c r="D1194" s="32">
        <v>13.01</v>
      </c>
      <c r="E1194" s="32">
        <v>13.5</v>
      </c>
      <c r="F1194" s="32" t="s">
        <v>173</v>
      </c>
      <c r="G1194" s="32">
        <v>3.2679999999999998</v>
      </c>
      <c r="H1194" s="32">
        <v>1.268</v>
      </c>
      <c r="I1194" s="32" t="s">
        <v>174</v>
      </c>
      <c r="J1194" s="32">
        <v>1</v>
      </c>
      <c r="K1194" s="32" t="s">
        <v>183</v>
      </c>
      <c r="L1194" s="18">
        <f t="shared" si="18"/>
        <v>999999999</v>
      </c>
    </row>
    <row r="1195" spans="1:12" ht="15" customHeight="1" x14ac:dyDescent="0.25">
      <c r="A1195" s="32" t="s">
        <v>186</v>
      </c>
      <c r="B1195" s="32" t="s">
        <v>52</v>
      </c>
      <c r="C1195" s="32" t="s">
        <v>154</v>
      </c>
      <c r="D1195" s="32">
        <v>30.01</v>
      </c>
      <c r="E1195" s="32">
        <v>30.5</v>
      </c>
      <c r="F1195" s="32" t="s">
        <v>173</v>
      </c>
      <c r="G1195" s="32">
        <v>5.2868000000000004</v>
      </c>
      <c r="H1195" s="32">
        <v>3.2867999999999999</v>
      </c>
      <c r="I1195" s="32" t="s">
        <v>174</v>
      </c>
      <c r="J1195" s="32">
        <v>1</v>
      </c>
      <c r="K1195" s="32" t="s">
        <v>183</v>
      </c>
      <c r="L1195" s="18">
        <f t="shared" si="18"/>
        <v>999999999</v>
      </c>
    </row>
    <row r="1196" spans="1:12" ht="15" customHeight="1" x14ac:dyDescent="0.25">
      <c r="A1196" s="32" t="s">
        <v>186</v>
      </c>
      <c r="B1196" s="32" t="s">
        <v>52</v>
      </c>
      <c r="C1196" s="32" t="s">
        <v>154</v>
      </c>
      <c r="D1196" s="32">
        <v>13.51</v>
      </c>
      <c r="E1196" s="32">
        <v>14</v>
      </c>
      <c r="F1196" s="32" t="s">
        <v>173</v>
      </c>
      <c r="G1196" s="32">
        <v>3.2976000000000001</v>
      </c>
      <c r="H1196" s="32">
        <v>1.2976000000000001</v>
      </c>
      <c r="I1196" s="32" t="s">
        <v>174</v>
      </c>
      <c r="J1196" s="32">
        <v>1</v>
      </c>
      <c r="K1196" s="32" t="s">
        <v>183</v>
      </c>
      <c r="L1196" s="18">
        <f t="shared" si="18"/>
        <v>999999999</v>
      </c>
    </row>
    <row r="1197" spans="1:12" ht="15" customHeight="1" x14ac:dyDescent="0.25">
      <c r="A1197" s="32" t="s">
        <v>186</v>
      </c>
      <c r="B1197" s="32" t="s">
        <v>52</v>
      </c>
      <c r="C1197" s="32" t="s">
        <v>154</v>
      </c>
      <c r="D1197" s="32">
        <v>30.51</v>
      </c>
      <c r="E1197" s="32">
        <v>31</v>
      </c>
      <c r="F1197" s="32" t="s">
        <v>173</v>
      </c>
      <c r="G1197" s="32">
        <v>5.3167999999999997</v>
      </c>
      <c r="H1197" s="32">
        <v>1.3168</v>
      </c>
      <c r="I1197" s="32" t="s">
        <v>174</v>
      </c>
      <c r="J1197" s="32">
        <v>1</v>
      </c>
      <c r="K1197" s="32" t="s">
        <v>183</v>
      </c>
      <c r="L1197" s="18">
        <f t="shared" si="18"/>
        <v>999999999</v>
      </c>
    </row>
    <row r="1198" spans="1:12" ht="15" customHeight="1" x14ac:dyDescent="0.25">
      <c r="A1198" s="32" t="s">
        <v>186</v>
      </c>
      <c r="B1198" s="32" t="s">
        <v>52</v>
      </c>
      <c r="C1198" s="32" t="s">
        <v>154</v>
      </c>
      <c r="D1198" s="32">
        <v>14.01</v>
      </c>
      <c r="E1198" s="32">
        <v>14.5</v>
      </c>
      <c r="F1198" s="32" t="s">
        <v>173</v>
      </c>
      <c r="G1198" s="32">
        <v>3.3271999999999999</v>
      </c>
      <c r="H1198" s="32">
        <v>1.3271999999999999</v>
      </c>
      <c r="I1198" s="32" t="s">
        <v>174</v>
      </c>
      <c r="J1198" s="32">
        <v>1</v>
      </c>
      <c r="K1198" s="32" t="s">
        <v>183</v>
      </c>
      <c r="L1198" s="18">
        <f t="shared" si="18"/>
        <v>999999999</v>
      </c>
    </row>
    <row r="1199" spans="1:12" ht="15" customHeight="1" x14ac:dyDescent="0.25">
      <c r="A1199" s="32" t="s">
        <v>186</v>
      </c>
      <c r="B1199" s="32" t="s">
        <v>52</v>
      </c>
      <c r="C1199" s="32" t="s">
        <v>154</v>
      </c>
      <c r="D1199" s="32">
        <v>31.01</v>
      </c>
      <c r="E1199" s="32">
        <v>31.5</v>
      </c>
      <c r="F1199" s="32" t="s">
        <v>173</v>
      </c>
      <c r="G1199" s="32">
        <v>5.3468</v>
      </c>
      <c r="H1199" s="32">
        <v>1.3468</v>
      </c>
      <c r="I1199" s="32" t="s">
        <v>174</v>
      </c>
      <c r="J1199" s="32">
        <v>1</v>
      </c>
      <c r="K1199" s="32" t="s">
        <v>183</v>
      </c>
      <c r="L1199" s="18">
        <f t="shared" si="18"/>
        <v>999999999</v>
      </c>
    </row>
    <row r="1200" spans="1:12" ht="15" customHeight="1" x14ac:dyDescent="0.25">
      <c r="A1200" s="32" t="s">
        <v>186</v>
      </c>
      <c r="B1200" s="32" t="s">
        <v>52</v>
      </c>
      <c r="C1200" s="32" t="s">
        <v>154</v>
      </c>
      <c r="D1200" s="32">
        <v>14.51</v>
      </c>
      <c r="E1200" s="32">
        <v>15</v>
      </c>
      <c r="F1200" s="32" t="s">
        <v>173</v>
      </c>
      <c r="G1200" s="32">
        <v>3.3567999999999998</v>
      </c>
      <c r="H1200" s="32">
        <v>1.3568</v>
      </c>
      <c r="I1200" s="32" t="s">
        <v>174</v>
      </c>
      <c r="J1200" s="32">
        <v>1</v>
      </c>
      <c r="K1200" s="32" t="s">
        <v>183</v>
      </c>
      <c r="L1200" s="18">
        <f t="shared" si="18"/>
        <v>999999999</v>
      </c>
    </row>
    <row r="1201" spans="1:12" ht="15" customHeight="1" x14ac:dyDescent="0.25">
      <c r="A1201" s="32" t="s">
        <v>186</v>
      </c>
      <c r="B1201" s="32" t="s">
        <v>52</v>
      </c>
      <c r="C1201" s="32" t="s">
        <v>154</v>
      </c>
      <c r="D1201" s="32">
        <v>15.01</v>
      </c>
      <c r="E1201" s="32">
        <v>15.5</v>
      </c>
      <c r="F1201" s="32" t="s">
        <v>173</v>
      </c>
      <c r="G1201" s="32">
        <v>3.3868</v>
      </c>
      <c r="H1201" s="32">
        <v>1.3868</v>
      </c>
      <c r="I1201" s="32" t="s">
        <v>174</v>
      </c>
      <c r="J1201" s="32">
        <v>1</v>
      </c>
      <c r="K1201" s="32" t="s">
        <v>183</v>
      </c>
      <c r="L1201" s="18">
        <f t="shared" si="18"/>
        <v>999999999</v>
      </c>
    </row>
    <row r="1202" spans="1:12" ht="15" customHeight="1" x14ac:dyDescent="0.25">
      <c r="A1202" s="32" t="s">
        <v>186</v>
      </c>
      <c r="B1202" s="32" t="s">
        <v>52</v>
      </c>
      <c r="C1202" s="32" t="s">
        <v>154</v>
      </c>
      <c r="D1202" s="32">
        <v>15.51</v>
      </c>
      <c r="E1202" s="32">
        <v>16</v>
      </c>
      <c r="F1202" s="32" t="s">
        <v>173</v>
      </c>
      <c r="G1202" s="32">
        <v>3.4167999999999998</v>
      </c>
      <c r="H1202" s="32">
        <v>1.4168000000000001</v>
      </c>
      <c r="I1202" s="32" t="s">
        <v>174</v>
      </c>
      <c r="J1202" s="32">
        <v>1</v>
      </c>
      <c r="K1202" s="32" t="s">
        <v>183</v>
      </c>
      <c r="L1202" s="18">
        <f t="shared" si="18"/>
        <v>999999999</v>
      </c>
    </row>
    <row r="1203" spans="1:12" ht="15" customHeight="1" x14ac:dyDescent="0.25">
      <c r="A1203" s="32" t="s">
        <v>186</v>
      </c>
      <c r="B1203" s="32" t="s">
        <v>52</v>
      </c>
      <c r="C1203" s="32" t="s">
        <v>154</v>
      </c>
      <c r="D1203" s="32">
        <v>32.51</v>
      </c>
      <c r="E1203" s="32">
        <v>33</v>
      </c>
      <c r="F1203" s="32" t="s">
        <v>173</v>
      </c>
      <c r="G1203" s="32">
        <v>5.4367999999999999</v>
      </c>
      <c r="H1203" s="32">
        <v>1.4368000000000001</v>
      </c>
      <c r="I1203" s="32" t="s">
        <v>174</v>
      </c>
      <c r="J1203" s="32">
        <v>1</v>
      </c>
      <c r="K1203" s="32" t="s">
        <v>183</v>
      </c>
      <c r="L1203" s="18">
        <f t="shared" si="18"/>
        <v>999999999</v>
      </c>
    </row>
    <row r="1204" spans="1:12" ht="15" customHeight="1" x14ac:dyDescent="0.25">
      <c r="A1204" s="32" t="s">
        <v>186</v>
      </c>
      <c r="B1204" s="32" t="s">
        <v>52</v>
      </c>
      <c r="C1204" s="32" t="s">
        <v>154</v>
      </c>
      <c r="D1204" s="32">
        <v>16.010000000000002</v>
      </c>
      <c r="E1204" s="32">
        <v>16.5</v>
      </c>
      <c r="F1204" s="32" t="s">
        <v>173</v>
      </c>
      <c r="G1204" s="32">
        <v>3.4468000000000001</v>
      </c>
      <c r="H1204" s="32">
        <v>1.4468000000000001</v>
      </c>
      <c r="I1204" s="32" t="s">
        <v>174</v>
      </c>
      <c r="J1204" s="32">
        <v>1</v>
      </c>
      <c r="K1204" s="32" t="s">
        <v>183</v>
      </c>
      <c r="L1204" s="18">
        <f t="shared" si="18"/>
        <v>999999999</v>
      </c>
    </row>
    <row r="1205" spans="1:12" ht="15" customHeight="1" x14ac:dyDescent="0.25">
      <c r="A1205" s="32" t="s">
        <v>186</v>
      </c>
      <c r="B1205" s="32" t="s">
        <v>52</v>
      </c>
      <c r="C1205" s="32" t="s">
        <v>154</v>
      </c>
      <c r="D1205" s="32">
        <v>33.01</v>
      </c>
      <c r="E1205" s="32">
        <v>33.5</v>
      </c>
      <c r="F1205" s="32" t="s">
        <v>173</v>
      </c>
      <c r="G1205" s="32">
        <v>5.4668000000000001</v>
      </c>
      <c r="H1205" s="32">
        <v>3.4668000000000001</v>
      </c>
      <c r="I1205" s="32" t="s">
        <v>174</v>
      </c>
      <c r="J1205" s="32">
        <v>1</v>
      </c>
      <c r="K1205" s="32" t="s">
        <v>183</v>
      </c>
      <c r="L1205" s="18">
        <f t="shared" si="18"/>
        <v>999999999</v>
      </c>
    </row>
    <row r="1206" spans="1:12" ht="15" customHeight="1" x14ac:dyDescent="0.25">
      <c r="A1206" s="32" t="s">
        <v>186</v>
      </c>
      <c r="B1206" s="32" t="s">
        <v>52</v>
      </c>
      <c r="C1206" s="32" t="s">
        <v>154</v>
      </c>
      <c r="D1206" s="32">
        <v>16.510000000000002</v>
      </c>
      <c r="E1206" s="32">
        <v>17</v>
      </c>
      <c r="F1206" s="32" t="s">
        <v>173</v>
      </c>
      <c r="G1206" s="32">
        <v>3.4767999999999999</v>
      </c>
      <c r="H1206" s="32">
        <v>1.4767999999999999</v>
      </c>
      <c r="I1206" s="32" t="s">
        <v>174</v>
      </c>
      <c r="J1206" s="32">
        <v>1</v>
      </c>
      <c r="K1206" s="32" t="s">
        <v>183</v>
      </c>
      <c r="L1206" s="18">
        <f t="shared" si="18"/>
        <v>999999999</v>
      </c>
    </row>
    <row r="1207" spans="1:12" ht="15" customHeight="1" x14ac:dyDescent="0.25">
      <c r="A1207" s="32" t="s">
        <v>186</v>
      </c>
      <c r="B1207" s="32" t="s">
        <v>52</v>
      </c>
      <c r="C1207" s="32" t="s">
        <v>154</v>
      </c>
      <c r="D1207" s="32">
        <v>17.010000000000002</v>
      </c>
      <c r="E1207" s="32">
        <v>17.5</v>
      </c>
      <c r="F1207" s="32" t="s">
        <v>173</v>
      </c>
      <c r="G1207" s="32">
        <v>3.5068000000000001</v>
      </c>
      <c r="H1207" s="32">
        <v>1.5067999999999999</v>
      </c>
      <c r="I1207" s="32" t="s">
        <v>174</v>
      </c>
      <c r="J1207" s="32">
        <v>1</v>
      </c>
      <c r="K1207" s="32" t="s">
        <v>183</v>
      </c>
      <c r="L1207" s="18">
        <f t="shared" si="18"/>
        <v>999999999</v>
      </c>
    </row>
    <row r="1208" spans="1:12" ht="15" customHeight="1" x14ac:dyDescent="0.25">
      <c r="A1208" s="32" t="s">
        <v>186</v>
      </c>
      <c r="B1208" s="32" t="s">
        <v>52</v>
      </c>
      <c r="C1208" s="32" t="s">
        <v>154</v>
      </c>
      <c r="D1208" s="32">
        <v>17.510000000000002</v>
      </c>
      <c r="E1208" s="32">
        <v>18</v>
      </c>
      <c r="F1208" s="32" t="s">
        <v>173</v>
      </c>
      <c r="G1208" s="32">
        <v>3.5367999999999999</v>
      </c>
      <c r="H1208" s="32">
        <v>1.5367999999999999</v>
      </c>
      <c r="I1208" s="32" t="s">
        <v>174</v>
      </c>
      <c r="J1208" s="32">
        <v>1</v>
      </c>
      <c r="K1208" s="32" t="s">
        <v>183</v>
      </c>
      <c r="L1208" s="18">
        <f t="shared" si="18"/>
        <v>999999999</v>
      </c>
    </row>
    <row r="1209" spans="1:12" ht="15" customHeight="1" x14ac:dyDescent="0.25">
      <c r="A1209" s="32" t="s">
        <v>186</v>
      </c>
      <c r="B1209" s="32" t="s">
        <v>52</v>
      </c>
      <c r="C1209" s="32" t="s">
        <v>154</v>
      </c>
      <c r="D1209" s="32">
        <v>34.51</v>
      </c>
      <c r="E1209" s="32">
        <v>35</v>
      </c>
      <c r="F1209" s="32" t="s">
        <v>173</v>
      </c>
      <c r="G1209" s="32">
        <v>5.5568</v>
      </c>
      <c r="H1209" s="32">
        <v>3.5568</v>
      </c>
      <c r="I1209" s="32" t="s">
        <v>174</v>
      </c>
      <c r="J1209" s="32">
        <v>1</v>
      </c>
      <c r="K1209" s="32" t="s">
        <v>183</v>
      </c>
      <c r="L1209" s="18">
        <f t="shared" si="18"/>
        <v>999999999</v>
      </c>
    </row>
    <row r="1210" spans="1:12" ht="15" customHeight="1" x14ac:dyDescent="0.25">
      <c r="A1210" s="32" t="s">
        <v>186</v>
      </c>
      <c r="B1210" s="32" t="s">
        <v>52</v>
      </c>
      <c r="C1210" s="32" t="s">
        <v>154</v>
      </c>
      <c r="D1210" s="32">
        <v>18.010000000000002</v>
      </c>
      <c r="E1210" s="32">
        <v>18.5</v>
      </c>
      <c r="F1210" s="32" t="s">
        <v>173</v>
      </c>
      <c r="G1210" s="32">
        <v>3.5668000000000002</v>
      </c>
      <c r="H1210" s="32">
        <v>1.5668</v>
      </c>
      <c r="I1210" s="32" t="s">
        <v>174</v>
      </c>
      <c r="J1210" s="32">
        <v>1</v>
      </c>
      <c r="K1210" s="32" t="s">
        <v>183</v>
      </c>
      <c r="L1210" s="18">
        <f t="shared" si="18"/>
        <v>999999999</v>
      </c>
    </row>
    <row r="1211" spans="1:12" ht="15" customHeight="1" x14ac:dyDescent="0.25">
      <c r="A1211" s="32" t="s">
        <v>186</v>
      </c>
      <c r="B1211" s="32" t="s">
        <v>52</v>
      </c>
      <c r="C1211" s="32" t="s">
        <v>154</v>
      </c>
      <c r="D1211" s="32">
        <v>18.510000000000002</v>
      </c>
      <c r="E1211" s="32">
        <v>19</v>
      </c>
      <c r="F1211" s="32" t="s">
        <v>173</v>
      </c>
      <c r="G1211" s="32">
        <v>3.5968</v>
      </c>
      <c r="H1211" s="32">
        <v>1.5968</v>
      </c>
      <c r="I1211" s="32" t="s">
        <v>174</v>
      </c>
      <c r="J1211" s="32">
        <v>1</v>
      </c>
      <c r="K1211" s="32" t="s">
        <v>183</v>
      </c>
      <c r="L1211" s="18">
        <f t="shared" si="18"/>
        <v>999999999</v>
      </c>
    </row>
    <row r="1212" spans="1:12" ht="15" customHeight="1" x14ac:dyDescent="0.25">
      <c r="A1212" s="32" t="s">
        <v>186</v>
      </c>
      <c r="B1212" s="32" t="s">
        <v>52</v>
      </c>
      <c r="C1212" s="32" t="s">
        <v>154</v>
      </c>
      <c r="D1212" s="32">
        <v>35.51</v>
      </c>
      <c r="E1212" s="32">
        <v>36</v>
      </c>
      <c r="F1212" s="32" t="s">
        <v>173</v>
      </c>
      <c r="G1212" s="32">
        <v>5.6167999999999996</v>
      </c>
      <c r="H1212" s="32">
        <v>2.6168</v>
      </c>
      <c r="I1212" s="32" t="s">
        <v>174</v>
      </c>
      <c r="J1212" s="32">
        <v>1</v>
      </c>
      <c r="K1212" s="32" t="s">
        <v>183</v>
      </c>
      <c r="L1212" s="18">
        <f t="shared" si="18"/>
        <v>999999999</v>
      </c>
    </row>
    <row r="1213" spans="1:12" ht="15" customHeight="1" x14ac:dyDescent="0.25">
      <c r="A1213" s="32" t="s">
        <v>186</v>
      </c>
      <c r="B1213" s="32" t="s">
        <v>52</v>
      </c>
      <c r="C1213" s="32" t="s">
        <v>154</v>
      </c>
      <c r="D1213" s="32">
        <v>19.010000000000002</v>
      </c>
      <c r="E1213" s="32">
        <v>19.5</v>
      </c>
      <c r="F1213" s="32" t="s">
        <v>173</v>
      </c>
      <c r="G1213" s="32">
        <v>3.6267999999999998</v>
      </c>
      <c r="H1213" s="32">
        <v>1.6268</v>
      </c>
      <c r="I1213" s="32" t="s">
        <v>174</v>
      </c>
      <c r="J1213" s="32">
        <v>1</v>
      </c>
      <c r="K1213" s="32" t="s">
        <v>183</v>
      </c>
      <c r="L1213" s="18">
        <f t="shared" si="18"/>
        <v>999999999</v>
      </c>
    </row>
    <row r="1214" spans="1:12" ht="15" customHeight="1" x14ac:dyDescent="0.25">
      <c r="A1214" s="32" t="s">
        <v>186</v>
      </c>
      <c r="B1214" s="32" t="s">
        <v>52</v>
      </c>
      <c r="C1214" s="32" t="s">
        <v>154</v>
      </c>
      <c r="D1214" s="32">
        <v>19.510000000000002</v>
      </c>
      <c r="E1214" s="32">
        <v>20</v>
      </c>
      <c r="F1214" s="32" t="s">
        <v>173</v>
      </c>
      <c r="G1214" s="32">
        <v>3.6568000000000001</v>
      </c>
      <c r="H1214" s="32">
        <v>1.6568000000000001</v>
      </c>
      <c r="I1214" s="32" t="s">
        <v>174</v>
      </c>
      <c r="J1214" s="32">
        <v>1</v>
      </c>
      <c r="K1214" s="32" t="s">
        <v>183</v>
      </c>
      <c r="L1214" s="18">
        <f t="shared" si="18"/>
        <v>999999999</v>
      </c>
    </row>
    <row r="1215" spans="1:12" ht="15" customHeight="1" x14ac:dyDescent="0.25">
      <c r="A1215" s="32" t="s">
        <v>186</v>
      </c>
      <c r="B1215" s="32" t="s">
        <v>52</v>
      </c>
      <c r="C1215" s="32" t="s">
        <v>154</v>
      </c>
      <c r="D1215" s="32">
        <v>36.51</v>
      </c>
      <c r="E1215" s="32">
        <v>37</v>
      </c>
      <c r="F1215" s="32" t="s">
        <v>173</v>
      </c>
      <c r="G1215" s="32">
        <v>5.6768000000000001</v>
      </c>
      <c r="H1215" s="32">
        <v>1.6768000000000001</v>
      </c>
      <c r="I1215" s="32" t="s">
        <v>174</v>
      </c>
      <c r="J1215" s="32">
        <v>1</v>
      </c>
      <c r="K1215" s="32" t="s">
        <v>183</v>
      </c>
      <c r="L1215" s="18">
        <f t="shared" si="18"/>
        <v>999999999</v>
      </c>
    </row>
    <row r="1216" spans="1:12" ht="15" customHeight="1" x14ac:dyDescent="0.25">
      <c r="A1216" s="32" t="s">
        <v>186</v>
      </c>
      <c r="B1216" s="32" t="s">
        <v>52</v>
      </c>
      <c r="C1216" s="32" t="s">
        <v>154</v>
      </c>
      <c r="D1216" s="32">
        <v>20.010000000000002</v>
      </c>
      <c r="E1216" s="32">
        <v>20.5</v>
      </c>
      <c r="F1216" s="32" t="s">
        <v>173</v>
      </c>
      <c r="G1216" s="32">
        <v>3.6867999999999999</v>
      </c>
      <c r="H1216" s="32">
        <v>1.6868000000000001</v>
      </c>
      <c r="I1216" s="32" t="s">
        <v>174</v>
      </c>
      <c r="J1216" s="32">
        <v>1</v>
      </c>
      <c r="K1216" s="32" t="s">
        <v>183</v>
      </c>
      <c r="L1216" s="18">
        <f t="shared" si="18"/>
        <v>999999999</v>
      </c>
    </row>
    <row r="1217" spans="1:12" ht="15" customHeight="1" x14ac:dyDescent="0.25">
      <c r="A1217" s="32" t="s">
        <v>186</v>
      </c>
      <c r="B1217" s="32" t="s">
        <v>52</v>
      </c>
      <c r="C1217" s="32" t="s">
        <v>154</v>
      </c>
      <c r="D1217" s="32">
        <v>20.51</v>
      </c>
      <c r="E1217" s="32">
        <v>21</v>
      </c>
      <c r="F1217" s="32" t="s">
        <v>173</v>
      </c>
      <c r="G1217" s="32">
        <v>3.7168000000000001</v>
      </c>
      <c r="H1217" s="32">
        <v>1.7168000000000001</v>
      </c>
      <c r="I1217" s="32" t="s">
        <v>174</v>
      </c>
      <c r="J1217" s="32">
        <v>1</v>
      </c>
      <c r="K1217" s="32" t="s">
        <v>183</v>
      </c>
      <c r="L1217" s="18">
        <f t="shared" si="18"/>
        <v>999999999</v>
      </c>
    </row>
    <row r="1218" spans="1:12" ht="15" customHeight="1" x14ac:dyDescent="0.25">
      <c r="A1218" s="32" t="s">
        <v>186</v>
      </c>
      <c r="B1218" s="32" t="s">
        <v>52</v>
      </c>
      <c r="C1218" s="32" t="s">
        <v>154</v>
      </c>
      <c r="D1218" s="32">
        <v>37.51</v>
      </c>
      <c r="E1218" s="32">
        <v>38</v>
      </c>
      <c r="F1218" s="32" t="s">
        <v>173</v>
      </c>
      <c r="G1218" s="32">
        <v>5.7367999999999997</v>
      </c>
      <c r="H1218" s="32">
        <v>3.7368000000000001</v>
      </c>
      <c r="I1218" s="32" t="s">
        <v>174</v>
      </c>
      <c r="J1218" s="32">
        <v>1</v>
      </c>
      <c r="K1218" s="32" t="s">
        <v>183</v>
      </c>
      <c r="L1218" s="18">
        <f t="shared" ref="L1218:L1281" si="19">IF(AND(B1218=Quote_Port,D1218&lt;=Quote_Weight,Quote_Weight&lt;=E1218,OR(Quote_2Day="No",J1218&lt;=2)),MAX(G1218,Quote_Weight*H1218)*Quote_USDINR,999999999)</f>
        <v>999999999</v>
      </c>
    </row>
    <row r="1219" spans="1:12" ht="15" customHeight="1" x14ac:dyDescent="0.25">
      <c r="A1219" s="32" t="s">
        <v>186</v>
      </c>
      <c r="B1219" s="32" t="s">
        <v>52</v>
      </c>
      <c r="C1219" s="32" t="s">
        <v>154</v>
      </c>
      <c r="D1219" s="32">
        <v>21.01</v>
      </c>
      <c r="E1219" s="32">
        <v>21.5</v>
      </c>
      <c r="F1219" s="32" t="s">
        <v>173</v>
      </c>
      <c r="G1219" s="32">
        <v>3.7467999999999999</v>
      </c>
      <c r="H1219" s="32">
        <v>1.7467999999999999</v>
      </c>
      <c r="I1219" s="32" t="s">
        <v>174</v>
      </c>
      <c r="J1219" s="32">
        <v>1</v>
      </c>
      <c r="K1219" s="32" t="s">
        <v>183</v>
      </c>
      <c r="L1219" s="18">
        <f t="shared" si="19"/>
        <v>999999999</v>
      </c>
    </row>
    <row r="1220" spans="1:12" ht="15" customHeight="1" x14ac:dyDescent="0.25">
      <c r="A1220" s="32" t="s">
        <v>186</v>
      </c>
      <c r="B1220" s="32" t="s">
        <v>52</v>
      </c>
      <c r="C1220" s="32" t="s">
        <v>154</v>
      </c>
      <c r="D1220" s="32">
        <v>21.51</v>
      </c>
      <c r="E1220" s="32">
        <v>22</v>
      </c>
      <c r="F1220" s="32" t="s">
        <v>173</v>
      </c>
      <c r="G1220" s="32">
        <v>3.7768000000000002</v>
      </c>
      <c r="H1220" s="32">
        <v>1.7767999999999999</v>
      </c>
      <c r="I1220" s="32" t="s">
        <v>174</v>
      </c>
      <c r="J1220" s="32">
        <v>1</v>
      </c>
      <c r="K1220" s="32" t="s">
        <v>183</v>
      </c>
      <c r="L1220" s="18">
        <f t="shared" si="19"/>
        <v>999999999</v>
      </c>
    </row>
    <row r="1221" spans="1:12" ht="15" customHeight="1" x14ac:dyDescent="0.25">
      <c r="A1221" s="32" t="s">
        <v>186</v>
      </c>
      <c r="B1221" s="32" t="s">
        <v>52</v>
      </c>
      <c r="C1221" s="32" t="s">
        <v>154</v>
      </c>
      <c r="D1221" s="32">
        <v>22.01</v>
      </c>
      <c r="E1221" s="32">
        <v>22.5</v>
      </c>
      <c r="F1221" s="32" t="s">
        <v>173</v>
      </c>
      <c r="G1221" s="32">
        <v>3.8068</v>
      </c>
      <c r="H1221" s="32">
        <v>1.8068</v>
      </c>
      <c r="I1221" s="32" t="s">
        <v>174</v>
      </c>
      <c r="J1221" s="32">
        <v>1</v>
      </c>
      <c r="K1221" s="32" t="s">
        <v>183</v>
      </c>
      <c r="L1221" s="18">
        <f t="shared" si="19"/>
        <v>999999999</v>
      </c>
    </row>
    <row r="1222" spans="1:12" ht="15" customHeight="1" x14ac:dyDescent="0.25">
      <c r="A1222" s="32" t="s">
        <v>186</v>
      </c>
      <c r="B1222" s="32" t="s">
        <v>52</v>
      </c>
      <c r="C1222" s="32" t="s">
        <v>154</v>
      </c>
      <c r="D1222" s="32">
        <v>22.51</v>
      </c>
      <c r="E1222" s="32">
        <v>23</v>
      </c>
      <c r="F1222" s="32" t="s">
        <v>173</v>
      </c>
      <c r="G1222" s="32">
        <v>3.8368000000000002</v>
      </c>
      <c r="H1222" s="32">
        <v>1.8368</v>
      </c>
      <c r="I1222" s="32" t="s">
        <v>174</v>
      </c>
      <c r="J1222" s="32">
        <v>1</v>
      </c>
      <c r="K1222" s="32" t="s">
        <v>183</v>
      </c>
      <c r="L1222" s="18">
        <f t="shared" si="19"/>
        <v>999999999</v>
      </c>
    </row>
    <row r="1223" spans="1:12" ht="15" customHeight="1" x14ac:dyDescent="0.25">
      <c r="A1223" s="32" t="s">
        <v>186</v>
      </c>
      <c r="B1223" s="32" t="s">
        <v>52</v>
      </c>
      <c r="C1223" s="32" t="s">
        <v>154</v>
      </c>
      <c r="D1223" s="32">
        <v>23.01</v>
      </c>
      <c r="E1223" s="32">
        <v>23.5</v>
      </c>
      <c r="F1223" s="32" t="s">
        <v>173</v>
      </c>
      <c r="G1223" s="32">
        <v>3.8668</v>
      </c>
      <c r="H1223" s="32">
        <v>1.8668</v>
      </c>
      <c r="I1223" s="32" t="s">
        <v>174</v>
      </c>
      <c r="J1223" s="32">
        <v>1</v>
      </c>
      <c r="K1223" s="32" t="s">
        <v>183</v>
      </c>
      <c r="L1223" s="18">
        <f t="shared" si="19"/>
        <v>999999999</v>
      </c>
    </row>
    <row r="1224" spans="1:12" ht="15" customHeight="1" x14ac:dyDescent="0.25">
      <c r="A1224" s="32" t="s">
        <v>186</v>
      </c>
      <c r="B1224" s="32" t="s">
        <v>52</v>
      </c>
      <c r="C1224" s="32" t="s">
        <v>154</v>
      </c>
      <c r="D1224" s="32">
        <v>23.51</v>
      </c>
      <c r="E1224" s="32">
        <v>24</v>
      </c>
      <c r="F1224" s="32" t="s">
        <v>173</v>
      </c>
      <c r="G1224" s="32">
        <v>3.8967999999999998</v>
      </c>
      <c r="H1224" s="32">
        <v>1.8968</v>
      </c>
      <c r="I1224" s="32" t="s">
        <v>174</v>
      </c>
      <c r="J1224" s="32">
        <v>1</v>
      </c>
      <c r="K1224" s="32" t="s">
        <v>183</v>
      </c>
      <c r="L1224" s="18">
        <f t="shared" si="19"/>
        <v>999999999</v>
      </c>
    </row>
    <row r="1225" spans="1:12" ht="15" customHeight="1" x14ac:dyDescent="0.25">
      <c r="A1225" s="32" t="s">
        <v>186</v>
      </c>
      <c r="B1225" s="32" t="s">
        <v>52</v>
      </c>
      <c r="C1225" s="32" t="s">
        <v>154</v>
      </c>
      <c r="D1225" s="32">
        <v>24.01</v>
      </c>
      <c r="E1225" s="32">
        <v>24.5</v>
      </c>
      <c r="F1225" s="32" t="s">
        <v>173</v>
      </c>
      <c r="G1225" s="32">
        <v>3.9268000000000001</v>
      </c>
      <c r="H1225" s="32">
        <v>1.9268000000000001</v>
      </c>
      <c r="I1225" s="32" t="s">
        <v>174</v>
      </c>
      <c r="J1225" s="32">
        <v>1</v>
      </c>
      <c r="K1225" s="32" t="s">
        <v>183</v>
      </c>
      <c r="L1225" s="18">
        <f t="shared" si="19"/>
        <v>999999999</v>
      </c>
    </row>
    <row r="1226" spans="1:12" ht="15" customHeight="1" x14ac:dyDescent="0.25">
      <c r="A1226" s="32" t="s">
        <v>186</v>
      </c>
      <c r="B1226" s="32" t="s">
        <v>52</v>
      </c>
      <c r="C1226" s="32" t="s">
        <v>154</v>
      </c>
      <c r="D1226" s="32">
        <v>24.51</v>
      </c>
      <c r="E1226" s="32">
        <v>25</v>
      </c>
      <c r="F1226" s="32" t="s">
        <v>173</v>
      </c>
      <c r="G1226" s="32">
        <v>3.9567999999999999</v>
      </c>
      <c r="H1226" s="32">
        <v>1.9568000000000001</v>
      </c>
      <c r="I1226" s="32" t="s">
        <v>174</v>
      </c>
      <c r="J1226" s="32">
        <v>1</v>
      </c>
      <c r="K1226" s="32" t="s">
        <v>183</v>
      </c>
      <c r="L1226" s="18">
        <f t="shared" si="19"/>
        <v>999999999</v>
      </c>
    </row>
    <row r="1227" spans="1:12" ht="15" customHeight="1" x14ac:dyDescent="0.25">
      <c r="A1227" s="32" t="s">
        <v>186</v>
      </c>
      <c r="B1227" s="32" t="s">
        <v>52</v>
      </c>
      <c r="C1227" s="32" t="s">
        <v>154</v>
      </c>
      <c r="D1227" s="32">
        <v>41.51</v>
      </c>
      <c r="E1227" s="32">
        <v>42</v>
      </c>
      <c r="F1227" s="32" t="s">
        <v>173</v>
      </c>
      <c r="G1227" s="32">
        <v>5.9767999999999999</v>
      </c>
      <c r="H1227" s="32">
        <v>1.9767999999999999</v>
      </c>
      <c r="I1227" s="32" t="s">
        <v>174</v>
      </c>
      <c r="J1227" s="32">
        <v>1</v>
      </c>
      <c r="K1227" s="32" t="s">
        <v>183</v>
      </c>
      <c r="L1227" s="18">
        <f t="shared" si="19"/>
        <v>999999999</v>
      </c>
    </row>
    <row r="1228" spans="1:12" ht="15" customHeight="1" x14ac:dyDescent="0.25">
      <c r="A1228" s="32" t="s">
        <v>186</v>
      </c>
      <c r="B1228" s="32" t="s">
        <v>52</v>
      </c>
      <c r="C1228" s="32" t="s">
        <v>154</v>
      </c>
      <c r="D1228" s="32">
        <v>25.01</v>
      </c>
      <c r="E1228" s="32">
        <v>25.5</v>
      </c>
      <c r="F1228" s="32" t="s">
        <v>173</v>
      </c>
      <c r="G1228" s="32">
        <v>3.9868000000000001</v>
      </c>
      <c r="H1228" s="32">
        <v>1.9867999999999999</v>
      </c>
      <c r="I1228" s="32" t="s">
        <v>174</v>
      </c>
      <c r="J1228" s="32">
        <v>1</v>
      </c>
      <c r="K1228" s="32" t="s">
        <v>183</v>
      </c>
      <c r="L1228" s="18">
        <f t="shared" si="19"/>
        <v>999999999</v>
      </c>
    </row>
    <row r="1229" spans="1:12" ht="15" customHeight="1" x14ac:dyDescent="0.25">
      <c r="A1229" s="32" t="s">
        <v>186</v>
      </c>
      <c r="B1229" s="32" t="s">
        <v>52</v>
      </c>
      <c r="C1229" s="32" t="s">
        <v>154</v>
      </c>
      <c r="D1229" s="32">
        <v>43.51</v>
      </c>
      <c r="E1229" s="32">
        <v>44</v>
      </c>
      <c r="F1229" s="32" t="s">
        <v>173</v>
      </c>
      <c r="G1229" s="32">
        <v>7.0968</v>
      </c>
      <c r="H1229" s="32">
        <v>2.0968</v>
      </c>
      <c r="I1229" s="32" t="s">
        <v>174</v>
      </c>
      <c r="J1229" s="32">
        <v>1</v>
      </c>
      <c r="K1229" s="32" t="s">
        <v>183</v>
      </c>
      <c r="L1229" s="18">
        <f t="shared" si="19"/>
        <v>999999999</v>
      </c>
    </row>
    <row r="1230" spans="1:12" ht="15" customHeight="1" x14ac:dyDescent="0.25">
      <c r="A1230" s="32" t="s">
        <v>186</v>
      </c>
      <c r="B1230" s="32" t="s">
        <v>52</v>
      </c>
      <c r="C1230" s="32" t="s">
        <v>154</v>
      </c>
      <c r="D1230" s="32">
        <v>27.01</v>
      </c>
      <c r="E1230" s="32">
        <v>27.5</v>
      </c>
      <c r="F1230" s="32" t="s">
        <v>173</v>
      </c>
      <c r="G1230" s="32">
        <v>5.1067999999999998</v>
      </c>
      <c r="H1230" s="32">
        <v>3.1067999999999998</v>
      </c>
      <c r="I1230" s="32" t="s">
        <v>174</v>
      </c>
      <c r="J1230" s="32">
        <v>1</v>
      </c>
      <c r="K1230" s="32" t="s">
        <v>183</v>
      </c>
      <c r="L1230" s="18">
        <f t="shared" si="19"/>
        <v>999999999</v>
      </c>
    </row>
    <row r="1231" spans="1:12" ht="15" customHeight="1" x14ac:dyDescent="0.25">
      <c r="A1231" s="32" t="s">
        <v>186</v>
      </c>
      <c r="B1231" s="32" t="s">
        <v>52</v>
      </c>
      <c r="C1231" s="32" t="s">
        <v>154</v>
      </c>
      <c r="D1231" s="32">
        <v>59.51</v>
      </c>
      <c r="E1231" s="32">
        <v>60</v>
      </c>
      <c r="F1231" s="32" t="s">
        <v>173</v>
      </c>
      <c r="G1231" s="32">
        <v>9.1768000000000001</v>
      </c>
      <c r="H1231" s="32">
        <v>5.1768000000000001</v>
      </c>
      <c r="I1231" s="32" t="s">
        <v>174</v>
      </c>
      <c r="J1231" s="32">
        <v>1</v>
      </c>
      <c r="K1231" s="32" t="s">
        <v>183</v>
      </c>
      <c r="L1231" s="18">
        <f t="shared" si="19"/>
        <v>999999999</v>
      </c>
    </row>
    <row r="1232" spans="1:12" ht="15" customHeight="1" x14ac:dyDescent="0.25">
      <c r="A1232" s="32" t="s">
        <v>186</v>
      </c>
      <c r="B1232" s="32" t="s">
        <v>52</v>
      </c>
      <c r="C1232" s="32" t="s">
        <v>154</v>
      </c>
      <c r="D1232" s="32">
        <v>29.01</v>
      </c>
      <c r="E1232" s="32">
        <v>29.5</v>
      </c>
      <c r="F1232" s="32" t="s">
        <v>173</v>
      </c>
      <c r="G1232" s="32">
        <v>5.2267999999999999</v>
      </c>
      <c r="H1232" s="32">
        <v>3.2267999999999999</v>
      </c>
      <c r="I1232" s="32" t="s">
        <v>174</v>
      </c>
      <c r="J1232" s="32">
        <v>1</v>
      </c>
      <c r="K1232" s="32" t="s">
        <v>183</v>
      </c>
      <c r="L1232" s="18">
        <f t="shared" si="19"/>
        <v>999999999</v>
      </c>
    </row>
    <row r="1233" spans="1:12" ht="15" customHeight="1" x14ac:dyDescent="0.25">
      <c r="A1233" s="32" t="s">
        <v>186</v>
      </c>
      <c r="B1233" s="32" t="s">
        <v>52</v>
      </c>
      <c r="C1233" s="32" t="s">
        <v>154</v>
      </c>
      <c r="D1233" s="32">
        <v>31.51</v>
      </c>
      <c r="E1233" s="32">
        <v>32</v>
      </c>
      <c r="F1233" s="32" t="s">
        <v>173</v>
      </c>
      <c r="G1233" s="32">
        <v>5.3768000000000002</v>
      </c>
      <c r="H1233" s="32">
        <v>2.3767999999999998</v>
      </c>
      <c r="I1233" s="32" t="s">
        <v>174</v>
      </c>
      <c r="J1233" s="32">
        <v>1</v>
      </c>
      <c r="K1233" s="32" t="s">
        <v>183</v>
      </c>
      <c r="L1233" s="18">
        <f t="shared" si="19"/>
        <v>999999999</v>
      </c>
    </row>
    <row r="1234" spans="1:12" ht="15" customHeight="1" x14ac:dyDescent="0.25">
      <c r="A1234" s="32" t="s">
        <v>186</v>
      </c>
      <c r="B1234" s="32" t="s">
        <v>52</v>
      </c>
      <c r="C1234" s="32" t="s">
        <v>154</v>
      </c>
      <c r="D1234" s="32">
        <v>48.01</v>
      </c>
      <c r="E1234" s="32">
        <v>48.5</v>
      </c>
      <c r="F1234" s="32" t="s">
        <v>173</v>
      </c>
      <c r="G1234" s="32">
        <v>7.3948</v>
      </c>
      <c r="H1234" s="32">
        <v>2.3948</v>
      </c>
      <c r="I1234" s="32" t="s">
        <v>174</v>
      </c>
      <c r="J1234" s="32">
        <v>1</v>
      </c>
      <c r="K1234" s="32" t="s">
        <v>183</v>
      </c>
      <c r="L1234" s="18">
        <f t="shared" si="19"/>
        <v>999999999</v>
      </c>
    </row>
    <row r="1235" spans="1:12" ht="15" customHeight="1" x14ac:dyDescent="0.25">
      <c r="A1235" s="32" t="s">
        <v>186</v>
      </c>
      <c r="B1235" s="32" t="s">
        <v>52</v>
      </c>
      <c r="C1235" s="32" t="s">
        <v>154</v>
      </c>
      <c r="D1235" s="32">
        <v>32.01</v>
      </c>
      <c r="E1235" s="32">
        <v>32.5</v>
      </c>
      <c r="F1235" s="32" t="s">
        <v>173</v>
      </c>
      <c r="G1235" s="32">
        <v>5.4067999999999996</v>
      </c>
      <c r="H1235" s="32">
        <v>1.4068000000000001</v>
      </c>
      <c r="I1235" s="32" t="s">
        <v>174</v>
      </c>
      <c r="J1235" s="32">
        <v>1</v>
      </c>
      <c r="K1235" s="32" t="s">
        <v>183</v>
      </c>
      <c r="L1235" s="18">
        <f t="shared" si="19"/>
        <v>999999999</v>
      </c>
    </row>
    <row r="1236" spans="1:12" ht="15" customHeight="1" x14ac:dyDescent="0.25">
      <c r="A1236" s="32" t="s">
        <v>186</v>
      </c>
      <c r="B1236" s="32" t="s">
        <v>52</v>
      </c>
      <c r="C1236" s="32" t="s">
        <v>154</v>
      </c>
      <c r="D1236" s="32">
        <v>33.51</v>
      </c>
      <c r="E1236" s="32">
        <v>34</v>
      </c>
      <c r="F1236" s="32" t="s">
        <v>173</v>
      </c>
      <c r="G1236" s="32">
        <v>5.4968000000000004</v>
      </c>
      <c r="H1236" s="32">
        <v>2.4967999999999999</v>
      </c>
      <c r="I1236" s="32" t="s">
        <v>174</v>
      </c>
      <c r="J1236" s="32">
        <v>1</v>
      </c>
      <c r="K1236" s="32" t="s">
        <v>183</v>
      </c>
      <c r="L1236" s="18">
        <f t="shared" si="19"/>
        <v>999999999</v>
      </c>
    </row>
    <row r="1237" spans="1:12" ht="15" customHeight="1" x14ac:dyDescent="0.25">
      <c r="A1237" s="32" t="s">
        <v>186</v>
      </c>
      <c r="B1237" s="32" t="s">
        <v>52</v>
      </c>
      <c r="C1237" s="32" t="s">
        <v>154</v>
      </c>
      <c r="D1237" s="32">
        <v>64.510000000000005</v>
      </c>
      <c r="E1237" s="32">
        <v>65</v>
      </c>
      <c r="F1237" s="32" t="s">
        <v>173</v>
      </c>
      <c r="G1237" s="32">
        <v>9.5167999999999999</v>
      </c>
      <c r="H1237" s="32">
        <v>2.5167999999999999</v>
      </c>
      <c r="I1237" s="32" t="s">
        <v>174</v>
      </c>
      <c r="J1237" s="32">
        <v>1</v>
      </c>
      <c r="K1237" s="32" t="s">
        <v>183</v>
      </c>
      <c r="L1237" s="18">
        <f t="shared" si="19"/>
        <v>999999999</v>
      </c>
    </row>
    <row r="1238" spans="1:12" ht="15" customHeight="1" x14ac:dyDescent="0.25">
      <c r="A1238" s="32" t="s">
        <v>186</v>
      </c>
      <c r="B1238" s="32" t="s">
        <v>52</v>
      </c>
      <c r="C1238" s="32" t="s">
        <v>154</v>
      </c>
      <c r="D1238" s="32">
        <v>35.01</v>
      </c>
      <c r="E1238" s="32">
        <v>35.5</v>
      </c>
      <c r="F1238" s="32" t="s">
        <v>173</v>
      </c>
      <c r="G1238" s="32">
        <v>5.5868000000000002</v>
      </c>
      <c r="H1238" s="32">
        <v>3.5868000000000002</v>
      </c>
      <c r="I1238" s="32" t="s">
        <v>174</v>
      </c>
      <c r="J1238" s="32">
        <v>1</v>
      </c>
      <c r="K1238" s="32" t="s">
        <v>183</v>
      </c>
      <c r="L1238" s="18">
        <f t="shared" si="19"/>
        <v>999999999</v>
      </c>
    </row>
    <row r="1239" spans="1:12" ht="15" customHeight="1" x14ac:dyDescent="0.25">
      <c r="A1239" s="32" t="s">
        <v>186</v>
      </c>
      <c r="B1239" s="32" t="s">
        <v>52</v>
      </c>
      <c r="C1239" s="32" t="s">
        <v>154</v>
      </c>
      <c r="D1239" s="32">
        <v>51.01</v>
      </c>
      <c r="E1239" s="32">
        <v>51.5</v>
      </c>
      <c r="F1239" s="32" t="s">
        <v>173</v>
      </c>
      <c r="G1239" s="32">
        <v>7.5987999999999998</v>
      </c>
      <c r="H1239" s="32">
        <v>3.5988000000000002</v>
      </c>
      <c r="I1239" s="32" t="s">
        <v>174</v>
      </c>
      <c r="J1239" s="32">
        <v>1</v>
      </c>
      <c r="K1239" s="32" t="s">
        <v>183</v>
      </c>
      <c r="L1239" s="18">
        <f t="shared" si="19"/>
        <v>999999999</v>
      </c>
    </row>
    <row r="1240" spans="1:12" ht="15" customHeight="1" x14ac:dyDescent="0.25">
      <c r="A1240" s="32" t="s">
        <v>186</v>
      </c>
      <c r="B1240" s="32" t="s">
        <v>52</v>
      </c>
      <c r="C1240" s="32" t="s">
        <v>154</v>
      </c>
      <c r="D1240" s="32">
        <v>66.010000000000005</v>
      </c>
      <c r="E1240" s="32">
        <v>66.5</v>
      </c>
      <c r="F1240" s="32" t="s">
        <v>173</v>
      </c>
      <c r="G1240" s="32">
        <v>9.6188000000000002</v>
      </c>
      <c r="H1240" s="32">
        <v>2.6187999999999998</v>
      </c>
      <c r="I1240" s="32" t="s">
        <v>174</v>
      </c>
      <c r="J1240" s="32">
        <v>1</v>
      </c>
      <c r="K1240" s="32" t="s">
        <v>183</v>
      </c>
      <c r="L1240" s="18">
        <f t="shared" si="19"/>
        <v>999999999</v>
      </c>
    </row>
    <row r="1241" spans="1:12" ht="15" customHeight="1" x14ac:dyDescent="0.25">
      <c r="A1241" s="32" t="s">
        <v>186</v>
      </c>
      <c r="B1241" s="32" t="s">
        <v>52</v>
      </c>
      <c r="C1241" s="32" t="s">
        <v>154</v>
      </c>
      <c r="D1241" s="32">
        <v>36.01</v>
      </c>
      <c r="E1241" s="32">
        <v>36.5</v>
      </c>
      <c r="F1241" s="32" t="s">
        <v>173</v>
      </c>
      <c r="G1241" s="32">
        <v>5.6467999999999998</v>
      </c>
      <c r="H1241" s="32">
        <v>3.6467999999999998</v>
      </c>
      <c r="I1241" s="32" t="s">
        <v>174</v>
      </c>
      <c r="J1241" s="32">
        <v>1</v>
      </c>
      <c r="K1241" s="32" t="s">
        <v>183</v>
      </c>
      <c r="L1241" s="18">
        <f t="shared" si="19"/>
        <v>999999999</v>
      </c>
    </row>
    <row r="1242" spans="1:12" ht="15" customHeight="1" x14ac:dyDescent="0.25">
      <c r="A1242" s="32" t="s">
        <v>186</v>
      </c>
      <c r="B1242" s="32" t="s">
        <v>52</v>
      </c>
      <c r="C1242" s="32" t="s">
        <v>154</v>
      </c>
      <c r="D1242" s="32">
        <v>52.01</v>
      </c>
      <c r="E1242" s="32">
        <v>52.5</v>
      </c>
      <c r="F1242" s="32" t="s">
        <v>173</v>
      </c>
      <c r="G1242" s="32">
        <v>7.6668000000000003</v>
      </c>
      <c r="H1242" s="32">
        <v>2.6667999999999998</v>
      </c>
      <c r="I1242" s="32" t="s">
        <v>174</v>
      </c>
      <c r="J1242" s="32">
        <v>1</v>
      </c>
      <c r="K1242" s="32" t="s">
        <v>183</v>
      </c>
      <c r="L1242" s="18">
        <f t="shared" si="19"/>
        <v>999999999</v>
      </c>
    </row>
    <row r="1243" spans="1:12" ht="15" customHeight="1" x14ac:dyDescent="0.25">
      <c r="A1243" s="32" t="s">
        <v>186</v>
      </c>
      <c r="B1243" s="32" t="s">
        <v>52</v>
      </c>
      <c r="C1243" s="32" t="s">
        <v>154</v>
      </c>
      <c r="D1243" s="32">
        <v>37.01</v>
      </c>
      <c r="E1243" s="32">
        <v>37.5</v>
      </c>
      <c r="F1243" s="32" t="s">
        <v>173</v>
      </c>
      <c r="G1243" s="32">
        <v>5.7068000000000003</v>
      </c>
      <c r="H1243" s="32">
        <v>2.7067999999999999</v>
      </c>
      <c r="I1243" s="32" t="s">
        <v>174</v>
      </c>
      <c r="J1243" s="32">
        <v>1</v>
      </c>
      <c r="K1243" s="32" t="s">
        <v>183</v>
      </c>
      <c r="L1243" s="18">
        <f t="shared" si="19"/>
        <v>999999999</v>
      </c>
    </row>
    <row r="1244" spans="1:12" ht="15" customHeight="1" x14ac:dyDescent="0.25">
      <c r="A1244" s="32" t="s">
        <v>186</v>
      </c>
      <c r="B1244" s="32" t="s">
        <v>52</v>
      </c>
      <c r="C1244" s="32" t="s">
        <v>154</v>
      </c>
      <c r="D1244" s="32">
        <v>38.01</v>
      </c>
      <c r="E1244" s="32">
        <v>38.5</v>
      </c>
      <c r="F1244" s="32" t="s">
        <v>173</v>
      </c>
      <c r="G1244" s="32">
        <v>5.7667999999999999</v>
      </c>
      <c r="H1244" s="32">
        <v>1.7667999999999999</v>
      </c>
      <c r="I1244" s="32" t="s">
        <v>174</v>
      </c>
      <c r="J1244" s="32">
        <v>1</v>
      </c>
      <c r="K1244" s="32" t="s">
        <v>183</v>
      </c>
      <c r="L1244" s="18">
        <f t="shared" si="19"/>
        <v>999999999</v>
      </c>
    </row>
    <row r="1245" spans="1:12" ht="15" customHeight="1" x14ac:dyDescent="0.25">
      <c r="A1245" s="32" t="s">
        <v>186</v>
      </c>
      <c r="B1245" s="32" t="s">
        <v>52</v>
      </c>
      <c r="C1245" s="32" t="s">
        <v>154</v>
      </c>
      <c r="D1245" s="32">
        <v>38.51</v>
      </c>
      <c r="E1245" s="32">
        <v>39</v>
      </c>
      <c r="F1245" s="32" t="s">
        <v>173</v>
      </c>
      <c r="G1245" s="32">
        <v>5.7968000000000002</v>
      </c>
      <c r="H1245" s="32">
        <v>1.7968</v>
      </c>
      <c r="I1245" s="32" t="s">
        <v>174</v>
      </c>
      <c r="J1245" s="32">
        <v>1</v>
      </c>
      <c r="K1245" s="32" t="s">
        <v>183</v>
      </c>
      <c r="L1245" s="18">
        <f t="shared" si="19"/>
        <v>999999999</v>
      </c>
    </row>
    <row r="1246" spans="1:12" ht="15" customHeight="1" x14ac:dyDescent="0.25">
      <c r="A1246" s="32" t="s">
        <v>186</v>
      </c>
      <c r="B1246" s="32" t="s">
        <v>52</v>
      </c>
      <c r="C1246" s="32" t="s">
        <v>154</v>
      </c>
      <c r="D1246" s="32">
        <v>39.01</v>
      </c>
      <c r="E1246" s="32">
        <v>39.5</v>
      </c>
      <c r="F1246" s="32" t="s">
        <v>173</v>
      </c>
      <c r="G1246" s="32">
        <v>5.8268000000000004</v>
      </c>
      <c r="H1246" s="32">
        <v>3.8268</v>
      </c>
      <c r="I1246" s="32" t="s">
        <v>174</v>
      </c>
      <c r="J1246" s="32">
        <v>1</v>
      </c>
      <c r="K1246" s="32" t="s">
        <v>183</v>
      </c>
      <c r="L1246" s="18">
        <f t="shared" si="19"/>
        <v>999999999</v>
      </c>
    </row>
    <row r="1247" spans="1:12" ht="15" customHeight="1" x14ac:dyDescent="0.25">
      <c r="A1247" s="32" t="s">
        <v>186</v>
      </c>
      <c r="B1247" s="32" t="s">
        <v>52</v>
      </c>
      <c r="C1247" s="32" t="s">
        <v>154</v>
      </c>
      <c r="D1247" s="32">
        <v>40.01</v>
      </c>
      <c r="E1247" s="32">
        <v>40.5</v>
      </c>
      <c r="F1247" s="32" t="s">
        <v>173</v>
      </c>
      <c r="G1247" s="32">
        <v>5.8868</v>
      </c>
      <c r="H1247" s="32">
        <v>2.8868</v>
      </c>
      <c r="I1247" s="32" t="s">
        <v>174</v>
      </c>
      <c r="J1247" s="32">
        <v>1</v>
      </c>
      <c r="K1247" s="32" t="s">
        <v>183</v>
      </c>
      <c r="L1247" s="18">
        <f t="shared" si="19"/>
        <v>999999999</v>
      </c>
    </row>
    <row r="1248" spans="1:12" ht="15" customHeight="1" x14ac:dyDescent="0.25">
      <c r="A1248" s="32" t="s">
        <v>186</v>
      </c>
      <c r="B1248" s="32" t="s">
        <v>52</v>
      </c>
      <c r="C1248" s="32" t="s">
        <v>154</v>
      </c>
      <c r="D1248" s="32">
        <v>70.010000000000005</v>
      </c>
      <c r="E1248" s="32">
        <v>70.5</v>
      </c>
      <c r="F1248" s="32" t="s">
        <v>173</v>
      </c>
      <c r="G1248" s="32">
        <v>9.8908000000000005</v>
      </c>
      <c r="H1248" s="32">
        <v>4.8907999999999996</v>
      </c>
      <c r="I1248" s="32" t="s">
        <v>174</v>
      </c>
      <c r="J1248" s="32">
        <v>1</v>
      </c>
      <c r="K1248" s="32" t="s">
        <v>183</v>
      </c>
      <c r="L1248" s="18">
        <f t="shared" si="19"/>
        <v>999999999</v>
      </c>
    </row>
    <row r="1249" spans="1:12" ht="15" customHeight="1" x14ac:dyDescent="0.25">
      <c r="A1249" s="32" t="s">
        <v>186</v>
      </c>
      <c r="B1249" s="32" t="s">
        <v>52</v>
      </c>
      <c r="C1249" s="32" t="s">
        <v>154</v>
      </c>
      <c r="D1249" s="32">
        <v>71.010000000000005</v>
      </c>
      <c r="E1249" s="32">
        <v>71.5</v>
      </c>
      <c r="F1249" s="32" t="s">
        <v>173</v>
      </c>
      <c r="G1249" s="32">
        <v>9.9588000000000001</v>
      </c>
      <c r="H1249" s="32">
        <v>5.9588000000000001</v>
      </c>
      <c r="I1249" s="32" t="s">
        <v>174</v>
      </c>
      <c r="J1249" s="32">
        <v>1</v>
      </c>
      <c r="K1249" s="32" t="s">
        <v>183</v>
      </c>
      <c r="L1249" s="18">
        <f t="shared" si="19"/>
        <v>999999999</v>
      </c>
    </row>
    <row r="1250" spans="1:12" ht="15" customHeight="1" x14ac:dyDescent="0.25">
      <c r="A1250" s="32" t="s">
        <v>186</v>
      </c>
      <c r="B1250" s="32" t="s">
        <v>52</v>
      </c>
      <c r="C1250" s="32" t="s">
        <v>154</v>
      </c>
      <c r="D1250" s="32">
        <v>42.01</v>
      </c>
      <c r="E1250" s="32">
        <v>42.5</v>
      </c>
      <c r="F1250" s="32" t="s">
        <v>173</v>
      </c>
      <c r="G1250" s="32">
        <v>7.0068000000000001</v>
      </c>
      <c r="H1250" s="32">
        <v>3.0068000000000001</v>
      </c>
      <c r="I1250" s="32" t="s">
        <v>174</v>
      </c>
      <c r="J1250" s="32">
        <v>1</v>
      </c>
      <c r="K1250" s="32" t="s">
        <v>183</v>
      </c>
      <c r="L1250" s="18">
        <f t="shared" si="19"/>
        <v>999999999</v>
      </c>
    </row>
    <row r="1251" spans="1:12" ht="15" customHeight="1" x14ac:dyDescent="0.25">
      <c r="A1251" s="32" t="s">
        <v>186</v>
      </c>
      <c r="B1251" s="32" t="s">
        <v>52</v>
      </c>
      <c r="C1251" s="32" t="s">
        <v>154</v>
      </c>
      <c r="D1251" s="32">
        <v>42.51</v>
      </c>
      <c r="E1251" s="32">
        <v>43</v>
      </c>
      <c r="F1251" s="32" t="s">
        <v>173</v>
      </c>
      <c r="G1251" s="32">
        <v>7.0368000000000004</v>
      </c>
      <c r="H1251" s="32">
        <v>3.0367999999999999</v>
      </c>
      <c r="I1251" s="32" t="s">
        <v>174</v>
      </c>
      <c r="J1251" s="32">
        <v>1</v>
      </c>
      <c r="K1251" s="32" t="s">
        <v>183</v>
      </c>
      <c r="L1251" s="18">
        <f t="shared" si="19"/>
        <v>999999999</v>
      </c>
    </row>
    <row r="1252" spans="1:12" ht="15" customHeight="1" x14ac:dyDescent="0.25">
      <c r="A1252" s="32" t="s">
        <v>186</v>
      </c>
      <c r="B1252" s="32" t="s">
        <v>52</v>
      </c>
      <c r="C1252" s="32" t="s">
        <v>154</v>
      </c>
      <c r="D1252" s="32">
        <v>57.51</v>
      </c>
      <c r="E1252" s="32">
        <v>58</v>
      </c>
      <c r="F1252" s="32" t="s">
        <v>173</v>
      </c>
      <c r="G1252" s="32">
        <v>9.0408000000000008</v>
      </c>
      <c r="H1252" s="32">
        <v>3.0407999999999999</v>
      </c>
      <c r="I1252" s="32" t="s">
        <v>174</v>
      </c>
      <c r="J1252" s="32">
        <v>1</v>
      </c>
      <c r="K1252" s="32" t="s">
        <v>183</v>
      </c>
      <c r="L1252" s="18">
        <f t="shared" si="19"/>
        <v>999999999</v>
      </c>
    </row>
    <row r="1253" spans="1:12" ht="15" customHeight="1" x14ac:dyDescent="0.25">
      <c r="A1253" s="32" t="s">
        <v>186</v>
      </c>
      <c r="B1253" s="32" t="s">
        <v>52</v>
      </c>
      <c r="C1253" s="32" t="s">
        <v>154</v>
      </c>
      <c r="D1253" s="32">
        <v>26.01</v>
      </c>
      <c r="E1253" s="32">
        <v>26.5</v>
      </c>
      <c r="F1253" s="32" t="s">
        <v>173</v>
      </c>
      <c r="G1253" s="32">
        <v>5.0468000000000002</v>
      </c>
      <c r="H1253" s="32">
        <v>3.0468000000000002</v>
      </c>
      <c r="I1253" s="32" t="s">
        <v>174</v>
      </c>
      <c r="J1253" s="32">
        <v>1</v>
      </c>
      <c r="K1253" s="32" t="s">
        <v>183</v>
      </c>
      <c r="L1253" s="18">
        <f t="shared" si="19"/>
        <v>999999999</v>
      </c>
    </row>
    <row r="1254" spans="1:12" ht="15" customHeight="1" x14ac:dyDescent="0.25">
      <c r="A1254" s="32" t="s">
        <v>186</v>
      </c>
      <c r="B1254" s="32" t="s">
        <v>52</v>
      </c>
      <c r="C1254" s="32" t="s">
        <v>154</v>
      </c>
      <c r="D1254" s="32">
        <v>26.51</v>
      </c>
      <c r="E1254" s="32">
        <v>27</v>
      </c>
      <c r="F1254" s="32" t="s">
        <v>173</v>
      </c>
      <c r="G1254" s="32">
        <v>5.0768000000000004</v>
      </c>
      <c r="H1254" s="32">
        <v>3.0768</v>
      </c>
      <c r="I1254" s="32" t="s">
        <v>174</v>
      </c>
      <c r="J1254" s="32">
        <v>1</v>
      </c>
      <c r="K1254" s="32" t="s">
        <v>183</v>
      </c>
      <c r="L1254" s="18">
        <f t="shared" si="19"/>
        <v>999999999</v>
      </c>
    </row>
    <row r="1255" spans="1:12" ht="15" customHeight="1" x14ac:dyDescent="0.25">
      <c r="A1255" s="32" t="s">
        <v>186</v>
      </c>
      <c r="B1255" s="32" t="s">
        <v>52</v>
      </c>
      <c r="C1255" s="32" t="s">
        <v>154</v>
      </c>
      <c r="D1255" s="32">
        <v>59.01</v>
      </c>
      <c r="E1255" s="32">
        <v>59.5</v>
      </c>
      <c r="F1255" s="32" t="s">
        <v>173</v>
      </c>
      <c r="G1255" s="32">
        <v>9.1427999999999994</v>
      </c>
      <c r="H1255" s="32">
        <v>6.1428000000000003</v>
      </c>
      <c r="I1255" s="32" t="s">
        <v>174</v>
      </c>
      <c r="J1255" s="32">
        <v>1</v>
      </c>
      <c r="K1255" s="32" t="s">
        <v>183</v>
      </c>
      <c r="L1255" s="18">
        <f t="shared" si="19"/>
        <v>999999999</v>
      </c>
    </row>
    <row r="1256" spans="1:12" ht="15" customHeight="1" x14ac:dyDescent="0.25">
      <c r="A1256" s="32" t="s">
        <v>186</v>
      </c>
      <c r="B1256" s="32" t="s">
        <v>52</v>
      </c>
      <c r="C1256" s="32" t="s">
        <v>154</v>
      </c>
      <c r="D1256" s="32">
        <v>44.51</v>
      </c>
      <c r="E1256" s="32">
        <v>45</v>
      </c>
      <c r="F1256" s="32" t="s">
        <v>173</v>
      </c>
      <c r="G1256" s="32">
        <v>7.1567999999999996</v>
      </c>
      <c r="H1256" s="32">
        <v>4.1567999999999996</v>
      </c>
      <c r="I1256" s="32" t="s">
        <v>174</v>
      </c>
      <c r="J1256" s="32">
        <v>1</v>
      </c>
      <c r="K1256" s="32" t="s">
        <v>183</v>
      </c>
      <c r="L1256" s="18">
        <f t="shared" si="19"/>
        <v>999999999</v>
      </c>
    </row>
    <row r="1257" spans="1:12" ht="15" customHeight="1" x14ac:dyDescent="0.25">
      <c r="A1257" s="32" t="s">
        <v>186</v>
      </c>
      <c r="B1257" s="32" t="s">
        <v>52</v>
      </c>
      <c r="C1257" s="32" t="s">
        <v>154</v>
      </c>
      <c r="D1257" s="32">
        <v>28.01</v>
      </c>
      <c r="E1257" s="32">
        <v>28.5</v>
      </c>
      <c r="F1257" s="32" t="s">
        <v>173</v>
      </c>
      <c r="G1257" s="32">
        <v>5.1668000000000003</v>
      </c>
      <c r="H1257" s="32">
        <v>2.1667999999999998</v>
      </c>
      <c r="I1257" s="32" t="s">
        <v>174</v>
      </c>
      <c r="J1257" s="32">
        <v>1</v>
      </c>
      <c r="K1257" s="32" t="s">
        <v>183</v>
      </c>
      <c r="L1257" s="18">
        <f t="shared" si="19"/>
        <v>999999999</v>
      </c>
    </row>
    <row r="1258" spans="1:12" ht="15" customHeight="1" x14ac:dyDescent="0.25">
      <c r="A1258" s="32" t="s">
        <v>186</v>
      </c>
      <c r="B1258" s="32" t="s">
        <v>52</v>
      </c>
      <c r="C1258" s="32" t="s">
        <v>154</v>
      </c>
      <c r="D1258" s="32">
        <v>29.51</v>
      </c>
      <c r="E1258" s="32">
        <v>30</v>
      </c>
      <c r="F1258" s="32" t="s">
        <v>173</v>
      </c>
      <c r="G1258" s="32">
        <v>5.2568000000000001</v>
      </c>
      <c r="H1258" s="32">
        <v>2.2568000000000001</v>
      </c>
      <c r="I1258" s="32" t="s">
        <v>174</v>
      </c>
      <c r="J1258" s="32">
        <v>1</v>
      </c>
      <c r="K1258" s="32" t="s">
        <v>183</v>
      </c>
      <c r="L1258" s="18">
        <f t="shared" si="19"/>
        <v>999999999</v>
      </c>
    </row>
    <row r="1259" spans="1:12" ht="15" customHeight="1" x14ac:dyDescent="0.25">
      <c r="A1259" s="32" t="s">
        <v>186</v>
      </c>
      <c r="B1259" s="32" t="s">
        <v>52</v>
      </c>
      <c r="C1259" s="32" t="s">
        <v>154</v>
      </c>
      <c r="D1259" s="32">
        <v>61.01</v>
      </c>
      <c r="E1259" s="32">
        <v>61.5</v>
      </c>
      <c r="F1259" s="32" t="s">
        <v>173</v>
      </c>
      <c r="G1259" s="32">
        <v>9.2788000000000004</v>
      </c>
      <c r="H1259" s="32">
        <v>6.2788000000000004</v>
      </c>
      <c r="I1259" s="32" t="s">
        <v>174</v>
      </c>
      <c r="J1259" s="32">
        <v>1</v>
      </c>
      <c r="K1259" s="32" t="s">
        <v>183</v>
      </c>
      <c r="L1259" s="18">
        <f t="shared" si="19"/>
        <v>999999999</v>
      </c>
    </row>
    <row r="1260" spans="1:12" ht="15" customHeight="1" x14ac:dyDescent="0.25">
      <c r="A1260" s="32" t="s">
        <v>186</v>
      </c>
      <c r="B1260" s="32" t="s">
        <v>52</v>
      </c>
      <c r="C1260" s="32" t="s">
        <v>154</v>
      </c>
      <c r="D1260" s="32">
        <v>46.51</v>
      </c>
      <c r="E1260" s="32">
        <v>47</v>
      </c>
      <c r="F1260" s="32" t="s">
        <v>173</v>
      </c>
      <c r="G1260" s="32">
        <v>7.2927999999999997</v>
      </c>
      <c r="H1260" s="32">
        <v>3.2928000000000002</v>
      </c>
      <c r="I1260" s="32" t="s">
        <v>174</v>
      </c>
      <c r="J1260" s="32">
        <v>1</v>
      </c>
      <c r="K1260" s="32" t="s">
        <v>183</v>
      </c>
      <c r="L1260" s="18">
        <f t="shared" si="19"/>
        <v>999999999</v>
      </c>
    </row>
    <row r="1261" spans="1:12" ht="15" customHeight="1" x14ac:dyDescent="0.25">
      <c r="A1261" s="32" t="s">
        <v>186</v>
      </c>
      <c r="B1261" s="32" t="s">
        <v>52</v>
      </c>
      <c r="C1261" s="32" t="s">
        <v>154</v>
      </c>
      <c r="D1261" s="32">
        <v>61.51</v>
      </c>
      <c r="E1261" s="32">
        <v>62</v>
      </c>
      <c r="F1261" s="32" t="s">
        <v>173</v>
      </c>
      <c r="G1261" s="32">
        <v>9.3127999999999993</v>
      </c>
      <c r="H1261" s="32">
        <v>4.3128000000000002</v>
      </c>
      <c r="I1261" s="32" t="s">
        <v>174</v>
      </c>
      <c r="J1261" s="32">
        <v>1</v>
      </c>
      <c r="K1261" s="32" t="s">
        <v>183</v>
      </c>
      <c r="L1261" s="18">
        <f t="shared" si="19"/>
        <v>999999999</v>
      </c>
    </row>
    <row r="1262" spans="1:12" ht="15" customHeight="1" x14ac:dyDescent="0.25">
      <c r="A1262" s="32" t="s">
        <v>186</v>
      </c>
      <c r="B1262" s="32" t="s">
        <v>52</v>
      </c>
      <c r="C1262" s="32" t="s">
        <v>154</v>
      </c>
      <c r="D1262" s="32">
        <v>47.01</v>
      </c>
      <c r="E1262" s="32">
        <v>47.5</v>
      </c>
      <c r="F1262" s="32" t="s">
        <v>173</v>
      </c>
      <c r="G1262" s="32">
        <v>7.3268000000000004</v>
      </c>
      <c r="H1262" s="32">
        <v>4.3268000000000004</v>
      </c>
      <c r="I1262" s="32" t="s">
        <v>174</v>
      </c>
      <c r="J1262" s="32">
        <v>1</v>
      </c>
      <c r="K1262" s="32" t="s">
        <v>183</v>
      </c>
      <c r="L1262" s="18">
        <f t="shared" si="19"/>
        <v>999999999</v>
      </c>
    </row>
    <row r="1263" spans="1:12" ht="15" customHeight="1" x14ac:dyDescent="0.25">
      <c r="A1263" s="32" t="s">
        <v>186</v>
      </c>
      <c r="B1263" s="32" t="s">
        <v>52</v>
      </c>
      <c r="C1263" s="32" t="s">
        <v>154</v>
      </c>
      <c r="D1263" s="32">
        <v>47.51</v>
      </c>
      <c r="E1263" s="32">
        <v>48</v>
      </c>
      <c r="F1263" s="32" t="s">
        <v>173</v>
      </c>
      <c r="G1263" s="32">
        <v>7.3608000000000002</v>
      </c>
      <c r="H1263" s="32">
        <v>2.3607999999999998</v>
      </c>
      <c r="I1263" s="32" t="s">
        <v>174</v>
      </c>
      <c r="J1263" s="32">
        <v>1</v>
      </c>
      <c r="K1263" s="32" t="s">
        <v>183</v>
      </c>
      <c r="L1263" s="18">
        <f t="shared" si="19"/>
        <v>999999999</v>
      </c>
    </row>
    <row r="1264" spans="1:12" ht="15" customHeight="1" x14ac:dyDescent="0.25">
      <c r="A1264" s="32" t="s">
        <v>186</v>
      </c>
      <c r="B1264" s="32" t="s">
        <v>52</v>
      </c>
      <c r="C1264" s="32" t="s">
        <v>154</v>
      </c>
      <c r="D1264" s="32">
        <v>49.01</v>
      </c>
      <c r="E1264" s="32">
        <v>49.5</v>
      </c>
      <c r="F1264" s="32" t="s">
        <v>173</v>
      </c>
      <c r="G1264" s="32">
        <v>7.4627999999999997</v>
      </c>
      <c r="H1264" s="32">
        <v>3.4628000000000001</v>
      </c>
      <c r="I1264" s="32" t="s">
        <v>174</v>
      </c>
      <c r="J1264" s="32">
        <v>1</v>
      </c>
      <c r="K1264" s="32" t="s">
        <v>183</v>
      </c>
      <c r="L1264" s="18">
        <f t="shared" si="19"/>
        <v>999999999</v>
      </c>
    </row>
    <row r="1265" spans="1:12" ht="15" customHeight="1" x14ac:dyDescent="0.25">
      <c r="A1265" s="32" t="s">
        <v>186</v>
      </c>
      <c r="B1265" s="32" t="s">
        <v>52</v>
      </c>
      <c r="C1265" s="32" t="s">
        <v>154</v>
      </c>
      <c r="D1265" s="32">
        <v>34.01</v>
      </c>
      <c r="E1265" s="32">
        <v>34.5</v>
      </c>
      <c r="F1265" s="32" t="s">
        <v>173</v>
      </c>
      <c r="G1265" s="32">
        <v>5.5267999999999997</v>
      </c>
      <c r="H1265" s="32">
        <v>1.5267999999999999</v>
      </c>
      <c r="I1265" s="32" t="s">
        <v>174</v>
      </c>
      <c r="J1265" s="32">
        <v>1</v>
      </c>
      <c r="K1265" s="32" t="s">
        <v>183</v>
      </c>
      <c r="L1265" s="18">
        <f t="shared" si="19"/>
        <v>999999999</v>
      </c>
    </row>
    <row r="1266" spans="1:12" ht="15" customHeight="1" x14ac:dyDescent="0.25">
      <c r="A1266" s="32" t="s">
        <v>186</v>
      </c>
      <c r="B1266" s="32" t="s">
        <v>52</v>
      </c>
      <c r="C1266" s="32" t="s">
        <v>154</v>
      </c>
      <c r="D1266" s="32">
        <v>50.01</v>
      </c>
      <c r="E1266" s="32">
        <v>50.5</v>
      </c>
      <c r="F1266" s="32" t="s">
        <v>173</v>
      </c>
      <c r="G1266" s="32">
        <v>7.5308000000000002</v>
      </c>
      <c r="H1266" s="32">
        <v>2.5308000000000002</v>
      </c>
      <c r="I1266" s="32" t="s">
        <v>174</v>
      </c>
      <c r="J1266" s="32">
        <v>1</v>
      </c>
      <c r="K1266" s="32" t="s">
        <v>183</v>
      </c>
      <c r="L1266" s="18">
        <f t="shared" si="19"/>
        <v>999999999</v>
      </c>
    </row>
    <row r="1267" spans="1:12" ht="15" customHeight="1" x14ac:dyDescent="0.25">
      <c r="A1267" s="32" t="s">
        <v>186</v>
      </c>
      <c r="B1267" s="32" t="s">
        <v>52</v>
      </c>
      <c r="C1267" s="32" t="s">
        <v>154</v>
      </c>
      <c r="D1267" s="32">
        <v>51.51</v>
      </c>
      <c r="E1267" s="32">
        <v>52</v>
      </c>
      <c r="F1267" s="32" t="s">
        <v>173</v>
      </c>
      <c r="G1267" s="32">
        <v>7.6327999999999996</v>
      </c>
      <c r="H1267" s="32">
        <v>4.6327999999999996</v>
      </c>
      <c r="I1267" s="32" t="s">
        <v>174</v>
      </c>
      <c r="J1267" s="32">
        <v>1</v>
      </c>
      <c r="K1267" s="32" t="s">
        <v>183</v>
      </c>
      <c r="L1267" s="18">
        <f t="shared" si="19"/>
        <v>999999999</v>
      </c>
    </row>
    <row r="1268" spans="1:12" ht="15" customHeight="1" x14ac:dyDescent="0.25">
      <c r="A1268" s="32" t="s">
        <v>186</v>
      </c>
      <c r="B1268" s="32" t="s">
        <v>52</v>
      </c>
      <c r="C1268" s="32" t="s">
        <v>154</v>
      </c>
      <c r="D1268" s="32">
        <v>53.51</v>
      </c>
      <c r="E1268" s="32">
        <v>54</v>
      </c>
      <c r="F1268" s="32" t="s">
        <v>173</v>
      </c>
      <c r="G1268" s="32">
        <v>7.7687999999999997</v>
      </c>
      <c r="H1268" s="32">
        <v>3.7688000000000001</v>
      </c>
      <c r="I1268" s="32" t="s">
        <v>174</v>
      </c>
      <c r="J1268" s="32">
        <v>1</v>
      </c>
      <c r="K1268" s="32" t="s">
        <v>183</v>
      </c>
      <c r="L1268" s="18">
        <f t="shared" si="19"/>
        <v>999999999</v>
      </c>
    </row>
    <row r="1269" spans="1:12" ht="15" customHeight="1" x14ac:dyDescent="0.25">
      <c r="A1269" s="32" t="s">
        <v>186</v>
      </c>
      <c r="B1269" s="32" t="s">
        <v>52</v>
      </c>
      <c r="C1269" s="32" t="s">
        <v>154</v>
      </c>
      <c r="D1269" s="32">
        <v>68.510000000000005</v>
      </c>
      <c r="E1269" s="32">
        <v>69</v>
      </c>
      <c r="F1269" s="32" t="s">
        <v>173</v>
      </c>
      <c r="G1269" s="32">
        <v>9.7888000000000002</v>
      </c>
      <c r="H1269" s="32">
        <v>2.7888000000000002</v>
      </c>
      <c r="I1269" s="32" t="s">
        <v>174</v>
      </c>
      <c r="J1269" s="32">
        <v>1</v>
      </c>
      <c r="K1269" s="32" t="s">
        <v>183</v>
      </c>
      <c r="L1269" s="18">
        <f t="shared" si="19"/>
        <v>999999999</v>
      </c>
    </row>
    <row r="1270" spans="1:12" ht="15" customHeight="1" x14ac:dyDescent="0.25">
      <c r="A1270" s="32" t="s">
        <v>186</v>
      </c>
      <c r="B1270" s="32" t="s">
        <v>52</v>
      </c>
      <c r="C1270" s="32" t="s">
        <v>154</v>
      </c>
      <c r="D1270" s="32">
        <v>54.01</v>
      </c>
      <c r="E1270" s="32">
        <v>54.5</v>
      </c>
      <c r="F1270" s="32" t="s">
        <v>173</v>
      </c>
      <c r="G1270" s="32">
        <v>7.8028000000000004</v>
      </c>
      <c r="H1270" s="32">
        <v>4.8028000000000004</v>
      </c>
      <c r="I1270" s="32" t="s">
        <v>174</v>
      </c>
      <c r="J1270" s="32">
        <v>1</v>
      </c>
      <c r="K1270" s="32" t="s">
        <v>183</v>
      </c>
      <c r="L1270" s="18">
        <f t="shared" si="19"/>
        <v>999999999</v>
      </c>
    </row>
    <row r="1271" spans="1:12" ht="15" customHeight="1" x14ac:dyDescent="0.25">
      <c r="A1271" s="32" t="s">
        <v>186</v>
      </c>
      <c r="B1271" s="32" t="s">
        <v>52</v>
      </c>
      <c r="C1271" s="32" t="s">
        <v>154</v>
      </c>
      <c r="D1271" s="32">
        <v>69.010000000000005</v>
      </c>
      <c r="E1271" s="32">
        <v>69.5</v>
      </c>
      <c r="F1271" s="32" t="s">
        <v>173</v>
      </c>
      <c r="G1271" s="32">
        <v>9.8228000000000009</v>
      </c>
      <c r="H1271" s="32">
        <v>5.8228</v>
      </c>
      <c r="I1271" s="32" t="s">
        <v>174</v>
      </c>
      <c r="J1271" s="32">
        <v>1</v>
      </c>
      <c r="K1271" s="32" t="s">
        <v>183</v>
      </c>
      <c r="L1271" s="18">
        <f t="shared" si="19"/>
        <v>999999999</v>
      </c>
    </row>
    <row r="1272" spans="1:12" ht="15" customHeight="1" x14ac:dyDescent="0.25">
      <c r="A1272" s="32" t="s">
        <v>186</v>
      </c>
      <c r="B1272" s="32" t="s">
        <v>52</v>
      </c>
      <c r="C1272" s="32" t="s">
        <v>154</v>
      </c>
      <c r="D1272" s="32">
        <v>39.51</v>
      </c>
      <c r="E1272" s="32">
        <v>40</v>
      </c>
      <c r="F1272" s="32" t="s">
        <v>173</v>
      </c>
      <c r="G1272" s="32">
        <v>5.8567999999999998</v>
      </c>
      <c r="H1272" s="32">
        <v>2.8567999999999998</v>
      </c>
      <c r="I1272" s="32" t="s">
        <v>174</v>
      </c>
      <c r="J1272" s="32">
        <v>1</v>
      </c>
      <c r="K1272" s="32" t="s">
        <v>183</v>
      </c>
      <c r="L1272" s="18">
        <f t="shared" si="19"/>
        <v>999999999</v>
      </c>
    </row>
    <row r="1273" spans="1:12" ht="15" customHeight="1" x14ac:dyDescent="0.25">
      <c r="A1273" s="32" t="s">
        <v>186</v>
      </c>
      <c r="B1273" s="32" t="s">
        <v>52</v>
      </c>
      <c r="C1273" s="32" t="s">
        <v>154</v>
      </c>
      <c r="D1273" s="32">
        <v>55.01</v>
      </c>
      <c r="E1273" s="32">
        <v>55.5</v>
      </c>
      <c r="F1273" s="32" t="s">
        <v>173</v>
      </c>
      <c r="G1273" s="32">
        <v>7.8708</v>
      </c>
      <c r="H1273" s="32">
        <v>3.8708</v>
      </c>
      <c r="I1273" s="32" t="s">
        <v>174</v>
      </c>
      <c r="J1273" s="32">
        <v>1</v>
      </c>
      <c r="K1273" s="32" t="s">
        <v>183</v>
      </c>
      <c r="L1273" s="18">
        <f t="shared" si="19"/>
        <v>999999999</v>
      </c>
    </row>
    <row r="1274" spans="1:12" ht="15" customHeight="1" x14ac:dyDescent="0.25">
      <c r="A1274" s="32" t="s">
        <v>186</v>
      </c>
      <c r="B1274" s="32" t="s">
        <v>52</v>
      </c>
      <c r="C1274" s="32" t="s">
        <v>154</v>
      </c>
      <c r="D1274" s="32">
        <v>55.51</v>
      </c>
      <c r="E1274" s="32">
        <v>56</v>
      </c>
      <c r="F1274" s="32" t="s">
        <v>173</v>
      </c>
      <c r="G1274" s="32">
        <v>7.9047999999999998</v>
      </c>
      <c r="H1274" s="32">
        <v>2.9047999999999998</v>
      </c>
      <c r="I1274" s="32" t="s">
        <v>174</v>
      </c>
      <c r="J1274" s="32">
        <v>1</v>
      </c>
      <c r="K1274" s="32" t="s">
        <v>183</v>
      </c>
      <c r="L1274" s="18">
        <f t="shared" si="19"/>
        <v>999999999</v>
      </c>
    </row>
    <row r="1275" spans="1:12" ht="15" customHeight="1" x14ac:dyDescent="0.25">
      <c r="A1275" s="32" t="s">
        <v>186</v>
      </c>
      <c r="B1275" s="32" t="s">
        <v>52</v>
      </c>
      <c r="C1275" s="32" t="s">
        <v>154</v>
      </c>
      <c r="D1275" s="32">
        <v>40.51</v>
      </c>
      <c r="E1275" s="32">
        <v>41</v>
      </c>
      <c r="F1275" s="32" t="s">
        <v>173</v>
      </c>
      <c r="G1275" s="32">
        <v>5.9168000000000003</v>
      </c>
      <c r="H1275" s="32">
        <v>1.9168000000000001</v>
      </c>
      <c r="I1275" s="32" t="s">
        <v>174</v>
      </c>
      <c r="J1275" s="32">
        <v>1</v>
      </c>
      <c r="K1275" s="32" t="s">
        <v>183</v>
      </c>
      <c r="L1275" s="18">
        <f t="shared" si="19"/>
        <v>999999999</v>
      </c>
    </row>
    <row r="1276" spans="1:12" ht="15" customHeight="1" x14ac:dyDescent="0.25">
      <c r="A1276" s="32" t="s">
        <v>186</v>
      </c>
      <c r="B1276" s="32" t="s">
        <v>52</v>
      </c>
      <c r="C1276" s="32" t="s">
        <v>154</v>
      </c>
      <c r="D1276" s="32">
        <v>56.01</v>
      </c>
      <c r="E1276" s="32">
        <v>56.5</v>
      </c>
      <c r="F1276" s="32" t="s">
        <v>173</v>
      </c>
      <c r="G1276" s="32">
        <v>7.9387999999999996</v>
      </c>
      <c r="H1276" s="32">
        <v>3.9388000000000001</v>
      </c>
      <c r="I1276" s="32" t="s">
        <v>174</v>
      </c>
      <c r="J1276" s="32">
        <v>1</v>
      </c>
      <c r="K1276" s="32" t="s">
        <v>183</v>
      </c>
      <c r="L1276" s="18">
        <f t="shared" si="19"/>
        <v>999999999</v>
      </c>
    </row>
    <row r="1277" spans="1:12" ht="15" customHeight="1" x14ac:dyDescent="0.25">
      <c r="A1277" s="32" t="s">
        <v>186</v>
      </c>
      <c r="B1277" s="32" t="s">
        <v>52</v>
      </c>
      <c r="C1277" s="32" t="s">
        <v>154</v>
      </c>
      <c r="D1277" s="32">
        <v>41.01</v>
      </c>
      <c r="E1277" s="32">
        <v>41.5</v>
      </c>
      <c r="F1277" s="32" t="s">
        <v>173</v>
      </c>
      <c r="G1277" s="32">
        <v>5.9467999999999996</v>
      </c>
      <c r="H1277" s="32">
        <v>2.9468000000000001</v>
      </c>
      <c r="I1277" s="32" t="s">
        <v>174</v>
      </c>
      <c r="J1277" s="32">
        <v>1</v>
      </c>
      <c r="K1277" s="32" t="s">
        <v>183</v>
      </c>
      <c r="L1277" s="18">
        <f t="shared" si="19"/>
        <v>999999999</v>
      </c>
    </row>
    <row r="1278" spans="1:12" ht="15" customHeight="1" x14ac:dyDescent="0.25">
      <c r="A1278" s="32" t="s">
        <v>186</v>
      </c>
      <c r="B1278" s="32" t="s">
        <v>52</v>
      </c>
      <c r="C1278" s="32" t="s">
        <v>154</v>
      </c>
      <c r="D1278" s="32">
        <v>56.51</v>
      </c>
      <c r="E1278" s="32">
        <v>57</v>
      </c>
      <c r="F1278" s="32" t="s">
        <v>173</v>
      </c>
      <c r="G1278" s="32">
        <v>7.9728000000000003</v>
      </c>
      <c r="H1278" s="32">
        <v>4.9728000000000003</v>
      </c>
      <c r="I1278" s="32" t="s">
        <v>174</v>
      </c>
      <c r="J1278" s="32">
        <v>1</v>
      </c>
      <c r="K1278" s="32" t="s">
        <v>183</v>
      </c>
      <c r="L1278" s="18">
        <f t="shared" si="19"/>
        <v>999999999</v>
      </c>
    </row>
    <row r="1279" spans="1:12" ht="15" customHeight="1" x14ac:dyDescent="0.25">
      <c r="A1279" s="32" t="s">
        <v>186</v>
      </c>
      <c r="B1279" s="32" t="s">
        <v>52</v>
      </c>
      <c r="C1279" s="32" t="s">
        <v>154</v>
      </c>
      <c r="D1279" s="32">
        <v>71.510000000000005</v>
      </c>
      <c r="E1279" s="32">
        <v>72</v>
      </c>
      <c r="F1279" s="32" t="s">
        <v>173</v>
      </c>
      <c r="G1279" s="32">
        <v>9.9928000000000008</v>
      </c>
      <c r="H1279" s="32">
        <v>2.9927999999999999</v>
      </c>
      <c r="I1279" s="32" t="s">
        <v>174</v>
      </c>
      <c r="J1279" s="32">
        <v>1</v>
      </c>
      <c r="K1279" s="32" t="s">
        <v>183</v>
      </c>
      <c r="L1279" s="18">
        <f t="shared" si="19"/>
        <v>999999999</v>
      </c>
    </row>
    <row r="1280" spans="1:12" ht="15" customHeight="1" x14ac:dyDescent="0.25">
      <c r="A1280" s="32" t="s">
        <v>186</v>
      </c>
      <c r="B1280" s="32" t="s">
        <v>52</v>
      </c>
      <c r="C1280" s="32" t="s">
        <v>154</v>
      </c>
      <c r="D1280" s="32">
        <v>57.01</v>
      </c>
      <c r="E1280" s="32">
        <v>57.5</v>
      </c>
      <c r="F1280" s="32" t="s">
        <v>173</v>
      </c>
      <c r="G1280" s="32">
        <v>9.0068000000000001</v>
      </c>
      <c r="H1280" s="32">
        <v>5.0068000000000001</v>
      </c>
      <c r="I1280" s="32" t="s">
        <v>174</v>
      </c>
      <c r="J1280" s="32">
        <v>1</v>
      </c>
      <c r="K1280" s="32" t="s">
        <v>183</v>
      </c>
      <c r="L1280" s="18">
        <f t="shared" si="19"/>
        <v>999999999</v>
      </c>
    </row>
    <row r="1281" spans="1:12" ht="15" customHeight="1" x14ac:dyDescent="0.25">
      <c r="A1281" s="32" t="s">
        <v>186</v>
      </c>
      <c r="B1281" s="32" t="s">
        <v>52</v>
      </c>
      <c r="C1281" s="32" t="s">
        <v>154</v>
      </c>
      <c r="D1281" s="32">
        <v>72.010000000000005</v>
      </c>
      <c r="E1281" s="32">
        <v>72.5</v>
      </c>
      <c r="F1281" s="32" t="s">
        <v>173</v>
      </c>
      <c r="G1281" s="32">
        <v>11.0268</v>
      </c>
      <c r="H1281" s="32">
        <v>6.0267999999999997</v>
      </c>
      <c r="I1281" s="32" t="s">
        <v>174</v>
      </c>
      <c r="J1281" s="32">
        <v>1</v>
      </c>
      <c r="K1281" s="32" t="s">
        <v>183</v>
      </c>
      <c r="L1281" s="18">
        <f t="shared" si="19"/>
        <v>999999999</v>
      </c>
    </row>
    <row r="1282" spans="1:12" ht="15" customHeight="1" x14ac:dyDescent="0.25">
      <c r="A1282" s="32" t="s">
        <v>186</v>
      </c>
      <c r="B1282" s="32" t="s">
        <v>52</v>
      </c>
      <c r="C1282" s="32" t="s">
        <v>154</v>
      </c>
      <c r="D1282" s="32">
        <v>72.510000000000005</v>
      </c>
      <c r="E1282" s="32">
        <v>73</v>
      </c>
      <c r="F1282" s="32" t="s">
        <v>173</v>
      </c>
      <c r="G1282" s="32">
        <v>11.0608</v>
      </c>
      <c r="H1282" s="32">
        <v>7.0608000000000004</v>
      </c>
      <c r="I1282" s="32" t="s">
        <v>174</v>
      </c>
      <c r="J1282" s="32">
        <v>1</v>
      </c>
      <c r="K1282" s="32" t="s">
        <v>183</v>
      </c>
      <c r="L1282" s="18">
        <f t="shared" ref="L1282:L1345" si="20">IF(AND(B1282=Quote_Port,D1282&lt;=Quote_Weight,Quote_Weight&lt;=E1282,OR(Quote_2Day="No",J1282&lt;=2)),MAX(G1282,Quote_Weight*H1282)*Quote_USDINR,999999999)</f>
        <v>999999999</v>
      </c>
    </row>
    <row r="1283" spans="1:12" ht="15" customHeight="1" x14ac:dyDescent="0.25">
      <c r="A1283" s="32" t="s">
        <v>186</v>
      </c>
      <c r="B1283" s="32" t="s">
        <v>52</v>
      </c>
      <c r="C1283" s="32" t="s">
        <v>154</v>
      </c>
      <c r="D1283" s="32">
        <v>43.01</v>
      </c>
      <c r="E1283" s="32">
        <v>43.5</v>
      </c>
      <c r="F1283" s="32" t="s">
        <v>173</v>
      </c>
      <c r="G1283" s="32">
        <v>7.0667999999999997</v>
      </c>
      <c r="H1283" s="32">
        <v>3.0668000000000002</v>
      </c>
      <c r="I1283" s="32" t="s">
        <v>174</v>
      </c>
      <c r="J1283" s="32">
        <v>1</v>
      </c>
      <c r="K1283" s="32" t="s">
        <v>183</v>
      </c>
      <c r="L1283" s="18">
        <f t="shared" si="20"/>
        <v>999999999</v>
      </c>
    </row>
    <row r="1284" spans="1:12" ht="15" customHeight="1" x14ac:dyDescent="0.25">
      <c r="A1284" s="32" t="s">
        <v>186</v>
      </c>
      <c r="B1284" s="32" t="s">
        <v>52</v>
      </c>
      <c r="C1284" s="32" t="s">
        <v>154</v>
      </c>
      <c r="D1284" s="32">
        <v>44.01</v>
      </c>
      <c r="E1284" s="32">
        <v>44.5</v>
      </c>
      <c r="F1284" s="32" t="s">
        <v>173</v>
      </c>
      <c r="G1284" s="32">
        <v>7.1268000000000002</v>
      </c>
      <c r="H1284" s="32">
        <v>4.1268000000000002</v>
      </c>
      <c r="I1284" s="32" t="s">
        <v>174</v>
      </c>
      <c r="J1284" s="32">
        <v>1</v>
      </c>
      <c r="K1284" s="32" t="s">
        <v>183</v>
      </c>
      <c r="L1284" s="18">
        <f t="shared" si="20"/>
        <v>999999999</v>
      </c>
    </row>
    <row r="1285" spans="1:12" ht="15" customHeight="1" x14ac:dyDescent="0.25">
      <c r="A1285" s="32" t="s">
        <v>186</v>
      </c>
      <c r="B1285" s="32" t="s">
        <v>52</v>
      </c>
      <c r="C1285" s="32" t="s">
        <v>154</v>
      </c>
      <c r="D1285" s="32">
        <v>74.010000000000005</v>
      </c>
      <c r="E1285" s="32">
        <v>74.5</v>
      </c>
      <c r="F1285" s="32" t="s">
        <v>173</v>
      </c>
      <c r="G1285" s="32">
        <v>11.162800000000001</v>
      </c>
      <c r="H1285" s="32">
        <v>6.1627999999999998</v>
      </c>
      <c r="I1285" s="32" t="s">
        <v>174</v>
      </c>
      <c r="J1285" s="32">
        <v>1</v>
      </c>
      <c r="K1285" s="32" t="s">
        <v>183</v>
      </c>
      <c r="L1285" s="18">
        <f t="shared" si="20"/>
        <v>999999999</v>
      </c>
    </row>
    <row r="1286" spans="1:12" ht="15" customHeight="1" x14ac:dyDescent="0.25">
      <c r="A1286" s="32" t="s">
        <v>186</v>
      </c>
      <c r="B1286" s="32" t="s">
        <v>52</v>
      </c>
      <c r="C1286" s="32" t="s">
        <v>154</v>
      </c>
      <c r="D1286" s="32">
        <v>45.01</v>
      </c>
      <c r="E1286" s="32">
        <v>45.5</v>
      </c>
      <c r="F1286" s="32" t="s">
        <v>173</v>
      </c>
      <c r="G1286" s="32">
        <v>7.1908000000000003</v>
      </c>
      <c r="H1286" s="32">
        <v>4.1908000000000003</v>
      </c>
      <c r="I1286" s="32" t="s">
        <v>174</v>
      </c>
      <c r="J1286" s="32">
        <v>1</v>
      </c>
      <c r="K1286" s="32" t="s">
        <v>183</v>
      </c>
      <c r="L1286" s="18">
        <f t="shared" si="20"/>
        <v>999999999</v>
      </c>
    </row>
    <row r="1287" spans="1:12" ht="15" customHeight="1" x14ac:dyDescent="0.25">
      <c r="A1287" s="32" t="s">
        <v>186</v>
      </c>
      <c r="B1287" s="32" t="s">
        <v>52</v>
      </c>
      <c r="C1287" s="32" t="s">
        <v>154</v>
      </c>
      <c r="D1287" s="32">
        <v>60.01</v>
      </c>
      <c r="E1287" s="32">
        <v>60.5</v>
      </c>
      <c r="F1287" s="32" t="s">
        <v>173</v>
      </c>
      <c r="G1287" s="32">
        <v>9.2108000000000008</v>
      </c>
      <c r="H1287" s="32">
        <v>6.2107999999999999</v>
      </c>
      <c r="I1287" s="32" t="s">
        <v>174</v>
      </c>
      <c r="J1287" s="32">
        <v>1</v>
      </c>
      <c r="K1287" s="32" t="s">
        <v>183</v>
      </c>
      <c r="L1287" s="18">
        <f t="shared" si="20"/>
        <v>999999999</v>
      </c>
    </row>
    <row r="1288" spans="1:12" ht="15" customHeight="1" x14ac:dyDescent="0.25">
      <c r="A1288" s="32" t="s">
        <v>186</v>
      </c>
      <c r="B1288" s="32" t="s">
        <v>52</v>
      </c>
      <c r="C1288" s="32" t="s">
        <v>154</v>
      </c>
      <c r="D1288" s="32">
        <v>45.51</v>
      </c>
      <c r="E1288" s="32">
        <v>46</v>
      </c>
      <c r="F1288" s="32" t="s">
        <v>173</v>
      </c>
      <c r="G1288" s="32">
        <v>7.2248000000000001</v>
      </c>
      <c r="H1288" s="32">
        <v>4.2248000000000001</v>
      </c>
      <c r="I1288" s="32" t="s">
        <v>174</v>
      </c>
      <c r="J1288" s="32">
        <v>1</v>
      </c>
      <c r="K1288" s="32" t="s">
        <v>183</v>
      </c>
      <c r="L1288" s="18">
        <f t="shared" si="20"/>
        <v>999999999</v>
      </c>
    </row>
    <row r="1289" spans="1:12" ht="15" customHeight="1" x14ac:dyDescent="0.25">
      <c r="A1289" s="32" t="s">
        <v>186</v>
      </c>
      <c r="B1289" s="32" t="s">
        <v>52</v>
      </c>
      <c r="C1289" s="32" t="s">
        <v>154</v>
      </c>
      <c r="D1289" s="32">
        <v>60.51</v>
      </c>
      <c r="E1289" s="32">
        <v>61</v>
      </c>
      <c r="F1289" s="32" t="s">
        <v>173</v>
      </c>
      <c r="G1289" s="32">
        <v>9.2447999999999997</v>
      </c>
      <c r="H1289" s="32">
        <v>4.2447999999999997</v>
      </c>
      <c r="I1289" s="32" t="s">
        <v>174</v>
      </c>
      <c r="J1289" s="32">
        <v>1</v>
      </c>
      <c r="K1289" s="32" t="s">
        <v>183</v>
      </c>
      <c r="L1289" s="18">
        <f t="shared" si="20"/>
        <v>999999999</v>
      </c>
    </row>
    <row r="1290" spans="1:12" ht="15" customHeight="1" x14ac:dyDescent="0.25">
      <c r="A1290" s="32" t="s">
        <v>186</v>
      </c>
      <c r="B1290" s="32" t="s">
        <v>52</v>
      </c>
      <c r="C1290" s="32" t="s">
        <v>154</v>
      </c>
      <c r="D1290" s="32">
        <v>46.01</v>
      </c>
      <c r="E1290" s="32">
        <v>46.5</v>
      </c>
      <c r="F1290" s="32" t="s">
        <v>173</v>
      </c>
      <c r="G1290" s="32">
        <v>7.2587999999999999</v>
      </c>
      <c r="H1290" s="32">
        <v>3.2587999999999999</v>
      </c>
      <c r="I1290" s="32" t="s">
        <v>174</v>
      </c>
      <c r="J1290" s="32">
        <v>1</v>
      </c>
      <c r="K1290" s="32" t="s">
        <v>183</v>
      </c>
      <c r="L1290" s="18">
        <f t="shared" si="20"/>
        <v>999999999</v>
      </c>
    </row>
    <row r="1291" spans="1:12" ht="15" customHeight="1" x14ac:dyDescent="0.25">
      <c r="A1291" s="32" t="s">
        <v>186</v>
      </c>
      <c r="B1291" s="32" t="s">
        <v>52</v>
      </c>
      <c r="C1291" s="32" t="s">
        <v>154</v>
      </c>
      <c r="D1291" s="32">
        <v>62.51</v>
      </c>
      <c r="E1291" s="32">
        <v>63</v>
      </c>
      <c r="F1291" s="32" t="s">
        <v>173</v>
      </c>
      <c r="G1291" s="32">
        <v>9.3808000000000007</v>
      </c>
      <c r="H1291" s="32">
        <v>5.3807999999999998</v>
      </c>
      <c r="I1291" s="32" t="s">
        <v>174</v>
      </c>
      <c r="J1291" s="32">
        <v>1</v>
      </c>
      <c r="K1291" s="32" t="s">
        <v>183</v>
      </c>
      <c r="L1291" s="18">
        <f t="shared" si="20"/>
        <v>999999999</v>
      </c>
    </row>
    <row r="1292" spans="1:12" ht="15" customHeight="1" x14ac:dyDescent="0.25">
      <c r="A1292" s="32" t="s">
        <v>186</v>
      </c>
      <c r="B1292" s="32" t="s">
        <v>52</v>
      </c>
      <c r="C1292" s="32" t="s">
        <v>154</v>
      </c>
      <c r="D1292" s="32">
        <v>48.51</v>
      </c>
      <c r="E1292" s="32">
        <v>49</v>
      </c>
      <c r="F1292" s="32" t="s">
        <v>173</v>
      </c>
      <c r="G1292" s="32">
        <v>7.4287999999999998</v>
      </c>
      <c r="H1292" s="32">
        <v>2.4287999999999998</v>
      </c>
      <c r="I1292" s="32" t="s">
        <v>174</v>
      </c>
      <c r="J1292" s="32">
        <v>1</v>
      </c>
      <c r="K1292" s="32" t="s">
        <v>183</v>
      </c>
      <c r="L1292" s="18">
        <f t="shared" si="20"/>
        <v>999999999</v>
      </c>
    </row>
    <row r="1293" spans="1:12" ht="15" customHeight="1" x14ac:dyDescent="0.25">
      <c r="A1293" s="32" t="s">
        <v>186</v>
      </c>
      <c r="B1293" s="32" t="s">
        <v>52</v>
      </c>
      <c r="C1293" s="32" t="s">
        <v>154</v>
      </c>
      <c r="D1293" s="32">
        <v>64.010000000000005</v>
      </c>
      <c r="E1293" s="32">
        <v>64.5</v>
      </c>
      <c r="F1293" s="32" t="s">
        <v>173</v>
      </c>
      <c r="G1293" s="32">
        <v>9.4827999999999992</v>
      </c>
      <c r="H1293" s="32">
        <v>4.4828000000000001</v>
      </c>
      <c r="I1293" s="32" t="s">
        <v>174</v>
      </c>
      <c r="J1293" s="32">
        <v>1</v>
      </c>
      <c r="K1293" s="32" t="s">
        <v>183</v>
      </c>
      <c r="L1293" s="18">
        <f t="shared" si="20"/>
        <v>999999999</v>
      </c>
    </row>
    <row r="1294" spans="1:12" ht="15" customHeight="1" x14ac:dyDescent="0.25">
      <c r="A1294" s="32" t="s">
        <v>186</v>
      </c>
      <c r="B1294" s="32" t="s">
        <v>52</v>
      </c>
      <c r="C1294" s="32" t="s">
        <v>154</v>
      </c>
      <c r="D1294" s="32">
        <v>49.51</v>
      </c>
      <c r="E1294" s="32">
        <v>50</v>
      </c>
      <c r="F1294" s="32" t="s">
        <v>173</v>
      </c>
      <c r="G1294" s="32">
        <v>7.4968000000000004</v>
      </c>
      <c r="H1294" s="32">
        <v>3.4967999999999999</v>
      </c>
      <c r="I1294" s="32" t="s">
        <v>174</v>
      </c>
      <c r="J1294" s="32">
        <v>1</v>
      </c>
      <c r="K1294" s="32" t="s">
        <v>183</v>
      </c>
      <c r="L1294" s="18">
        <f t="shared" si="20"/>
        <v>999999999</v>
      </c>
    </row>
    <row r="1295" spans="1:12" ht="15" customHeight="1" x14ac:dyDescent="0.25">
      <c r="A1295" s="32" t="s">
        <v>186</v>
      </c>
      <c r="B1295" s="32" t="s">
        <v>52</v>
      </c>
      <c r="C1295" s="32" t="s">
        <v>154</v>
      </c>
      <c r="D1295" s="32">
        <v>65.010000000000005</v>
      </c>
      <c r="E1295" s="32">
        <v>65.5</v>
      </c>
      <c r="F1295" s="32" t="s">
        <v>173</v>
      </c>
      <c r="G1295" s="32">
        <v>9.5508000000000006</v>
      </c>
      <c r="H1295" s="32">
        <v>5.5507999999999997</v>
      </c>
      <c r="I1295" s="32" t="s">
        <v>174</v>
      </c>
      <c r="J1295" s="32">
        <v>1</v>
      </c>
      <c r="K1295" s="32" t="s">
        <v>183</v>
      </c>
      <c r="L1295" s="18">
        <f t="shared" si="20"/>
        <v>999999999</v>
      </c>
    </row>
    <row r="1296" spans="1:12" ht="15" customHeight="1" x14ac:dyDescent="0.25">
      <c r="A1296" s="32" t="s">
        <v>186</v>
      </c>
      <c r="B1296" s="32" t="s">
        <v>52</v>
      </c>
      <c r="C1296" s="32" t="s">
        <v>154</v>
      </c>
      <c r="D1296" s="32">
        <v>50.51</v>
      </c>
      <c r="E1296" s="32">
        <v>51</v>
      </c>
      <c r="F1296" s="32" t="s">
        <v>173</v>
      </c>
      <c r="G1296" s="32">
        <v>7.5648</v>
      </c>
      <c r="H1296" s="32">
        <v>3.5648</v>
      </c>
      <c r="I1296" s="32" t="s">
        <v>174</v>
      </c>
      <c r="J1296" s="32">
        <v>1</v>
      </c>
      <c r="K1296" s="32" t="s">
        <v>183</v>
      </c>
      <c r="L1296" s="18">
        <f t="shared" si="20"/>
        <v>999999999</v>
      </c>
    </row>
    <row r="1297" spans="1:12" ht="15" customHeight="1" x14ac:dyDescent="0.25">
      <c r="A1297" s="32" t="s">
        <v>186</v>
      </c>
      <c r="B1297" s="32" t="s">
        <v>52</v>
      </c>
      <c r="C1297" s="32" t="s">
        <v>154</v>
      </c>
      <c r="D1297" s="32">
        <v>65.510000000000005</v>
      </c>
      <c r="E1297" s="32">
        <v>66</v>
      </c>
      <c r="F1297" s="32" t="s">
        <v>173</v>
      </c>
      <c r="G1297" s="32">
        <v>9.5847999999999995</v>
      </c>
      <c r="H1297" s="32">
        <v>3.5848</v>
      </c>
      <c r="I1297" s="32" t="s">
        <v>174</v>
      </c>
      <c r="J1297" s="32">
        <v>1</v>
      </c>
      <c r="K1297" s="32" t="s">
        <v>183</v>
      </c>
      <c r="L1297" s="18">
        <f t="shared" si="20"/>
        <v>999999999</v>
      </c>
    </row>
    <row r="1298" spans="1:12" ht="15" customHeight="1" x14ac:dyDescent="0.25">
      <c r="A1298" s="32" t="s">
        <v>186</v>
      </c>
      <c r="B1298" s="32" t="s">
        <v>52</v>
      </c>
      <c r="C1298" s="32" t="s">
        <v>154</v>
      </c>
      <c r="D1298" s="32">
        <v>52.51</v>
      </c>
      <c r="E1298" s="32">
        <v>53</v>
      </c>
      <c r="F1298" s="32" t="s">
        <v>173</v>
      </c>
      <c r="G1298" s="32">
        <v>7.7008000000000001</v>
      </c>
      <c r="H1298" s="32">
        <v>4.7008000000000001</v>
      </c>
      <c r="I1298" s="32" t="s">
        <v>174</v>
      </c>
      <c r="J1298" s="32">
        <v>1</v>
      </c>
      <c r="K1298" s="32" t="s">
        <v>183</v>
      </c>
      <c r="L1298" s="18">
        <f t="shared" si="20"/>
        <v>999999999</v>
      </c>
    </row>
    <row r="1299" spans="1:12" ht="15" customHeight="1" x14ac:dyDescent="0.25">
      <c r="A1299" s="32" t="s">
        <v>186</v>
      </c>
      <c r="B1299" s="32" t="s">
        <v>52</v>
      </c>
      <c r="C1299" s="32" t="s">
        <v>154</v>
      </c>
      <c r="D1299" s="32">
        <v>53.01</v>
      </c>
      <c r="E1299" s="32">
        <v>53.5</v>
      </c>
      <c r="F1299" s="32" t="s">
        <v>173</v>
      </c>
      <c r="G1299" s="32">
        <v>7.7347999999999999</v>
      </c>
      <c r="H1299" s="32">
        <v>2.7347999999999999</v>
      </c>
      <c r="I1299" s="32" t="s">
        <v>174</v>
      </c>
      <c r="J1299" s="32">
        <v>1</v>
      </c>
      <c r="K1299" s="32" t="s">
        <v>183</v>
      </c>
      <c r="L1299" s="18">
        <f t="shared" si="20"/>
        <v>999999999</v>
      </c>
    </row>
    <row r="1300" spans="1:12" ht="15" customHeight="1" x14ac:dyDescent="0.25">
      <c r="A1300" s="32" t="s">
        <v>186</v>
      </c>
      <c r="B1300" s="32" t="s">
        <v>52</v>
      </c>
      <c r="C1300" s="32" t="s">
        <v>154</v>
      </c>
      <c r="D1300" s="32">
        <v>54.51</v>
      </c>
      <c r="E1300" s="32">
        <v>55</v>
      </c>
      <c r="F1300" s="32" t="s">
        <v>173</v>
      </c>
      <c r="G1300" s="32">
        <v>7.8368000000000002</v>
      </c>
      <c r="H1300" s="32">
        <v>2.8368000000000002</v>
      </c>
      <c r="I1300" s="32" t="s">
        <v>174</v>
      </c>
      <c r="J1300" s="32">
        <v>1</v>
      </c>
      <c r="K1300" s="32" t="s">
        <v>183</v>
      </c>
      <c r="L1300" s="18">
        <f t="shared" si="20"/>
        <v>999999999</v>
      </c>
    </row>
    <row r="1301" spans="1:12" ht="15" customHeight="1" x14ac:dyDescent="0.25">
      <c r="A1301" s="32" t="s">
        <v>186</v>
      </c>
      <c r="B1301" s="32" t="s">
        <v>52</v>
      </c>
      <c r="C1301" s="32" t="s">
        <v>154</v>
      </c>
      <c r="D1301" s="32">
        <v>63.01</v>
      </c>
      <c r="E1301" s="32">
        <v>63.5</v>
      </c>
      <c r="F1301" s="32" t="s">
        <v>173</v>
      </c>
      <c r="G1301" s="32">
        <v>9.4147999999999996</v>
      </c>
      <c r="H1301" s="32">
        <v>3.4148000000000001</v>
      </c>
      <c r="I1301" s="32" t="s">
        <v>174</v>
      </c>
      <c r="J1301" s="32">
        <v>1</v>
      </c>
      <c r="K1301" s="32" t="s">
        <v>183</v>
      </c>
      <c r="L1301" s="18">
        <f t="shared" si="20"/>
        <v>999999999</v>
      </c>
    </row>
    <row r="1302" spans="1:12" ht="15" customHeight="1" x14ac:dyDescent="0.25">
      <c r="A1302" s="32" t="s">
        <v>186</v>
      </c>
      <c r="B1302" s="32" t="s">
        <v>52</v>
      </c>
      <c r="C1302" s="32" t="s">
        <v>154</v>
      </c>
      <c r="D1302" s="32">
        <v>63.51</v>
      </c>
      <c r="E1302" s="32">
        <v>64</v>
      </c>
      <c r="F1302" s="32" t="s">
        <v>173</v>
      </c>
      <c r="G1302" s="32">
        <v>9.4488000000000003</v>
      </c>
      <c r="H1302" s="32">
        <v>6.4488000000000003</v>
      </c>
      <c r="I1302" s="32" t="s">
        <v>174</v>
      </c>
      <c r="J1302" s="32">
        <v>1</v>
      </c>
      <c r="K1302" s="32" t="s">
        <v>183</v>
      </c>
      <c r="L1302" s="18">
        <f t="shared" si="20"/>
        <v>999999999</v>
      </c>
    </row>
    <row r="1303" spans="1:12" ht="15" customHeight="1" x14ac:dyDescent="0.25">
      <c r="A1303" s="32" t="s">
        <v>186</v>
      </c>
      <c r="B1303" s="32" t="s">
        <v>52</v>
      </c>
      <c r="C1303" s="32" t="s">
        <v>154</v>
      </c>
      <c r="D1303" s="32">
        <v>66.510000000000005</v>
      </c>
      <c r="E1303" s="32">
        <v>67</v>
      </c>
      <c r="F1303" s="32" t="s">
        <v>173</v>
      </c>
      <c r="G1303" s="32">
        <v>9.6527999999999992</v>
      </c>
      <c r="H1303" s="32">
        <v>3.6528</v>
      </c>
      <c r="I1303" s="32" t="s">
        <v>174</v>
      </c>
      <c r="J1303" s="32">
        <v>1</v>
      </c>
      <c r="K1303" s="32" t="s">
        <v>183</v>
      </c>
      <c r="L1303" s="18">
        <f t="shared" si="20"/>
        <v>999999999</v>
      </c>
    </row>
    <row r="1304" spans="1:12" ht="15" customHeight="1" x14ac:dyDescent="0.25">
      <c r="A1304" s="32" t="s">
        <v>186</v>
      </c>
      <c r="B1304" s="32" t="s">
        <v>52</v>
      </c>
      <c r="C1304" s="32" t="s">
        <v>154</v>
      </c>
      <c r="D1304" s="32">
        <v>67.010000000000005</v>
      </c>
      <c r="E1304" s="32">
        <v>67.5</v>
      </c>
      <c r="F1304" s="32" t="s">
        <v>173</v>
      </c>
      <c r="G1304" s="32">
        <v>9.6867999999999999</v>
      </c>
      <c r="H1304" s="32">
        <v>3.6867999999999999</v>
      </c>
      <c r="I1304" s="32" t="s">
        <v>174</v>
      </c>
      <c r="J1304" s="32">
        <v>1</v>
      </c>
      <c r="K1304" s="32" t="s">
        <v>183</v>
      </c>
      <c r="L1304" s="18">
        <f t="shared" si="20"/>
        <v>999999999</v>
      </c>
    </row>
    <row r="1305" spans="1:12" ht="15" customHeight="1" x14ac:dyDescent="0.25">
      <c r="A1305" s="32" t="s">
        <v>186</v>
      </c>
      <c r="B1305" s="32" t="s">
        <v>52</v>
      </c>
      <c r="C1305" s="32" t="s">
        <v>154</v>
      </c>
      <c r="D1305" s="32">
        <v>67.510000000000005</v>
      </c>
      <c r="E1305" s="32">
        <v>68</v>
      </c>
      <c r="F1305" s="32" t="s">
        <v>173</v>
      </c>
      <c r="G1305" s="32">
        <v>9.7208000000000006</v>
      </c>
      <c r="H1305" s="32">
        <v>3.7208000000000001</v>
      </c>
      <c r="I1305" s="32" t="s">
        <v>174</v>
      </c>
      <c r="J1305" s="32">
        <v>1</v>
      </c>
      <c r="K1305" s="32" t="s">
        <v>183</v>
      </c>
      <c r="L1305" s="18">
        <f t="shared" si="20"/>
        <v>999999999</v>
      </c>
    </row>
    <row r="1306" spans="1:12" ht="15" customHeight="1" x14ac:dyDescent="0.25">
      <c r="A1306" s="32" t="s">
        <v>186</v>
      </c>
      <c r="B1306" s="32" t="s">
        <v>52</v>
      </c>
      <c r="C1306" s="32" t="s">
        <v>154</v>
      </c>
      <c r="D1306" s="32">
        <v>68.010000000000005</v>
      </c>
      <c r="E1306" s="32">
        <v>68.5</v>
      </c>
      <c r="F1306" s="32" t="s">
        <v>173</v>
      </c>
      <c r="G1306" s="32">
        <v>9.7547999999999995</v>
      </c>
      <c r="H1306" s="32">
        <v>4.7548000000000004</v>
      </c>
      <c r="I1306" s="32" t="s">
        <v>174</v>
      </c>
      <c r="J1306" s="32">
        <v>1</v>
      </c>
      <c r="K1306" s="32" t="s">
        <v>183</v>
      </c>
      <c r="L1306" s="18">
        <f t="shared" si="20"/>
        <v>999999999</v>
      </c>
    </row>
    <row r="1307" spans="1:12" ht="15" customHeight="1" x14ac:dyDescent="0.25">
      <c r="A1307" s="32" t="s">
        <v>186</v>
      </c>
      <c r="B1307" s="32" t="s">
        <v>52</v>
      </c>
      <c r="C1307" s="32" t="s">
        <v>154</v>
      </c>
      <c r="D1307" s="32">
        <v>70.510000000000005</v>
      </c>
      <c r="E1307" s="32">
        <v>71</v>
      </c>
      <c r="F1307" s="32" t="s">
        <v>173</v>
      </c>
      <c r="G1307" s="32">
        <v>9.9247999999999994</v>
      </c>
      <c r="H1307" s="32">
        <v>2.9247999999999998</v>
      </c>
      <c r="I1307" s="32" t="s">
        <v>174</v>
      </c>
      <c r="J1307" s="32">
        <v>1</v>
      </c>
      <c r="K1307" s="32" t="s">
        <v>183</v>
      </c>
      <c r="L1307" s="18">
        <f t="shared" si="20"/>
        <v>999999999</v>
      </c>
    </row>
    <row r="1308" spans="1:12" ht="15" customHeight="1" x14ac:dyDescent="0.25">
      <c r="A1308" s="32" t="s">
        <v>186</v>
      </c>
      <c r="B1308" s="32" t="s">
        <v>52</v>
      </c>
      <c r="C1308" s="32" t="s">
        <v>154</v>
      </c>
      <c r="D1308" s="32">
        <v>58.01</v>
      </c>
      <c r="E1308" s="32">
        <v>58.5</v>
      </c>
      <c r="F1308" s="32" t="s">
        <v>173</v>
      </c>
      <c r="G1308" s="32">
        <v>9.0747999999999998</v>
      </c>
      <c r="H1308" s="32">
        <v>2.0748000000000002</v>
      </c>
      <c r="I1308" s="32" t="s">
        <v>174</v>
      </c>
      <c r="J1308" s="32">
        <v>1</v>
      </c>
      <c r="K1308" s="32" t="s">
        <v>183</v>
      </c>
      <c r="L1308" s="18">
        <f t="shared" si="20"/>
        <v>999999999</v>
      </c>
    </row>
    <row r="1309" spans="1:12" ht="15" customHeight="1" x14ac:dyDescent="0.25">
      <c r="A1309" s="32" t="s">
        <v>186</v>
      </c>
      <c r="B1309" s="32" t="s">
        <v>52</v>
      </c>
      <c r="C1309" s="32" t="s">
        <v>154</v>
      </c>
      <c r="D1309" s="32">
        <v>58.51</v>
      </c>
      <c r="E1309" s="32">
        <v>59</v>
      </c>
      <c r="F1309" s="32" t="s">
        <v>173</v>
      </c>
      <c r="G1309" s="32">
        <v>9.1088000000000005</v>
      </c>
      <c r="H1309" s="32">
        <v>3.1088</v>
      </c>
      <c r="I1309" s="32" t="s">
        <v>174</v>
      </c>
      <c r="J1309" s="32">
        <v>1</v>
      </c>
      <c r="K1309" s="32" t="s">
        <v>183</v>
      </c>
      <c r="L1309" s="18">
        <f t="shared" si="20"/>
        <v>999999999</v>
      </c>
    </row>
    <row r="1310" spans="1:12" ht="15" customHeight="1" x14ac:dyDescent="0.25">
      <c r="A1310" s="32" t="s">
        <v>186</v>
      </c>
      <c r="B1310" s="32" t="s">
        <v>52</v>
      </c>
      <c r="C1310" s="32" t="s">
        <v>154</v>
      </c>
      <c r="D1310" s="32">
        <v>73.510000000000005</v>
      </c>
      <c r="E1310" s="32">
        <v>74</v>
      </c>
      <c r="F1310" s="32" t="s">
        <v>173</v>
      </c>
      <c r="G1310" s="32">
        <v>11.1288</v>
      </c>
      <c r="H1310" s="32">
        <v>4.1288</v>
      </c>
      <c r="I1310" s="32" t="s">
        <v>174</v>
      </c>
      <c r="J1310" s="32">
        <v>1</v>
      </c>
      <c r="K1310" s="32" t="s">
        <v>183</v>
      </c>
      <c r="L1310" s="18">
        <f t="shared" si="20"/>
        <v>999999999</v>
      </c>
    </row>
    <row r="1311" spans="1:12" ht="15" customHeight="1" x14ac:dyDescent="0.25">
      <c r="A1311" s="32" t="s">
        <v>186</v>
      </c>
      <c r="B1311" s="32" t="s">
        <v>52</v>
      </c>
      <c r="C1311" s="32" t="s">
        <v>154</v>
      </c>
      <c r="D1311" s="32">
        <v>62.01</v>
      </c>
      <c r="E1311" s="32">
        <v>62.5</v>
      </c>
      <c r="F1311" s="32" t="s">
        <v>173</v>
      </c>
      <c r="G1311" s="32">
        <v>9.3468</v>
      </c>
      <c r="H1311" s="32">
        <v>4.3468</v>
      </c>
      <c r="I1311" s="32" t="s">
        <v>174</v>
      </c>
      <c r="J1311" s="32">
        <v>1</v>
      </c>
      <c r="K1311" s="32" t="s">
        <v>183</v>
      </c>
      <c r="L1311" s="18">
        <f t="shared" si="20"/>
        <v>999999999</v>
      </c>
    </row>
    <row r="1312" spans="1:12" ht="15" customHeight="1" x14ac:dyDescent="0.25">
      <c r="A1312" s="32" t="s">
        <v>186</v>
      </c>
      <c r="B1312" s="32" t="s">
        <v>52</v>
      </c>
      <c r="C1312" s="32" t="s">
        <v>154</v>
      </c>
      <c r="D1312" s="32">
        <v>69.510000000000005</v>
      </c>
      <c r="E1312" s="32">
        <v>70</v>
      </c>
      <c r="F1312" s="32" t="s">
        <v>173</v>
      </c>
      <c r="G1312" s="32">
        <v>9.8567999999999998</v>
      </c>
      <c r="H1312" s="32">
        <v>6.8567999999999998</v>
      </c>
      <c r="I1312" s="32" t="s">
        <v>174</v>
      </c>
      <c r="J1312" s="32">
        <v>1</v>
      </c>
      <c r="K1312" s="32" t="s">
        <v>183</v>
      </c>
      <c r="L1312" s="18">
        <f t="shared" si="20"/>
        <v>999999999</v>
      </c>
    </row>
    <row r="1313" spans="1:12" ht="15" customHeight="1" x14ac:dyDescent="0.25">
      <c r="A1313" s="32" t="s">
        <v>186</v>
      </c>
      <c r="B1313" s="32" t="s">
        <v>52</v>
      </c>
      <c r="C1313" s="32" t="s">
        <v>154</v>
      </c>
      <c r="D1313" s="32">
        <v>73.010000000000005</v>
      </c>
      <c r="E1313" s="32">
        <v>73.5</v>
      </c>
      <c r="F1313" s="32" t="s">
        <v>173</v>
      </c>
      <c r="G1313" s="32">
        <v>11.094799999999999</v>
      </c>
      <c r="H1313" s="32">
        <v>4.0948000000000002</v>
      </c>
      <c r="I1313" s="32" t="s">
        <v>174</v>
      </c>
      <c r="J1313" s="32">
        <v>1</v>
      </c>
      <c r="K1313" s="32" t="s">
        <v>183</v>
      </c>
      <c r="L1313" s="18">
        <f t="shared" si="20"/>
        <v>999999999</v>
      </c>
    </row>
    <row r="1314" spans="1:12" ht="15" customHeight="1" x14ac:dyDescent="0.25">
      <c r="A1314" s="32" t="s">
        <v>186</v>
      </c>
      <c r="B1314" s="32" t="s">
        <v>52</v>
      </c>
      <c r="C1314" s="32" t="s">
        <v>154</v>
      </c>
      <c r="D1314" s="32">
        <v>74.510000000000005</v>
      </c>
      <c r="E1314" s="32">
        <v>75</v>
      </c>
      <c r="F1314" s="32" t="s">
        <v>173</v>
      </c>
      <c r="G1314" s="32">
        <v>11.1968</v>
      </c>
      <c r="H1314" s="32">
        <v>3.1968000000000001</v>
      </c>
      <c r="I1314" s="32" t="s">
        <v>174</v>
      </c>
      <c r="J1314" s="32">
        <v>1</v>
      </c>
      <c r="K1314" s="32" t="s">
        <v>183</v>
      </c>
      <c r="L1314" s="18">
        <f t="shared" si="20"/>
        <v>999999999</v>
      </c>
    </row>
    <row r="1315" spans="1:12" ht="15" customHeight="1" x14ac:dyDescent="0.25">
      <c r="A1315" s="32" t="s">
        <v>182</v>
      </c>
      <c r="B1315" s="32" t="s">
        <v>55</v>
      </c>
      <c r="C1315" s="32" t="s">
        <v>154</v>
      </c>
      <c r="D1315" s="32">
        <v>0.01</v>
      </c>
      <c r="E1315" s="32">
        <v>0.5</v>
      </c>
      <c r="F1315" s="32" t="s">
        <v>173</v>
      </c>
      <c r="G1315" s="32">
        <v>1.73996</v>
      </c>
      <c r="H1315" s="32">
        <v>0.73995999999999995</v>
      </c>
      <c r="I1315" s="32" t="s">
        <v>174</v>
      </c>
      <c r="J1315" s="32">
        <v>1</v>
      </c>
      <c r="K1315" s="32" t="s">
        <v>183</v>
      </c>
      <c r="L1315" s="18">
        <f t="shared" si="20"/>
        <v>999999999</v>
      </c>
    </row>
    <row r="1316" spans="1:12" ht="15" customHeight="1" x14ac:dyDescent="0.25">
      <c r="A1316" s="32" t="s">
        <v>182</v>
      </c>
      <c r="B1316" s="32" t="s">
        <v>55</v>
      </c>
      <c r="C1316" s="32" t="s">
        <v>154</v>
      </c>
      <c r="D1316" s="32">
        <v>0.51</v>
      </c>
      <c r="E1316" s="32">
        <v>1</v>
      </c>
      <c r="F1316" s="32" t="s">
        <v>173</v>
      </c>
      <c r="G1316" s="32">
        <v>1.827304</v>
      </c>
      <c r="H1316" s="32">
        <v>0.82730400000000004</v>
      </c>
      <c r="I1316" s="32" t="s">
        <v>174</v>
      </c>
      <c r="J1316" s="32">
        <v>1</v>
      </c>
      <c r="K1316" s="32" t="s">
        <v>183</v>
      </c>
      <c r="L1316" s="18">
        <f t="shared" si="20"/>
        <v>999999999</v>
      </c>
    </row>
    <row r="1317" spans="1:12" ht="15" customHeight="1" x14ac:dyDescent="0.25">
      <c r="A1317" s="32" t="s">
        <v>182</v>
      </c>
      <c r="B1317" s="32" t="s">
        <v>55</v>
      </c>
      <c r="C1317" s="32" t="s">
        <v>154</v>
      </c>
      <c r="D1317" s="32">
        <v>1.01</v>
      </c>
      <c r="E1317" s="32">
        <v>1.5</v>
      </c>
      <c r="F1317" s="32" t="s">
        <v>173</v>
      </c>
      <c r="G1317" s="32">
        <v>1.901464</v>
      </c>
      <c r="H1317" s="32">
        <v>0.90146400000000004</v>
      </c>
      <c r="I1317" s="32" t="s">
        <v>174</v>
      </c>
      <c r="J1317" s="32">
        <v>1</v>
      </c>
      <c r="K1317" s="32" t="s">
        <v>183</v>
      </c>
      <c r="L1317" s="18">
        <f t="shared" si="20"/>
        <v>999999999</v>
      </c>
    </row>
    <row r="1318" spans="1:12" ht="15" customHeight="1" x14ac:dyDescent="0.25">
      <c r="A1318" s="32" t="s">
        <v>182</v>
      </c>
      <c r="B1318" s="32" t="s">
        <v>55</v>
      </c>
      <c r="C1318" s="32" t="s">
        <v>154</v>
      </c>
      <c r="D1318" s="32">
        <v>1.51</v>
      </c>
      <c r="E1318" s="32">
        <v>2</v>
      </c>
      <c r="F1318" s="32" t="s">
        <v>173</v>
      </c>
      <c r="G1318" s="32">
        <v>1.980156</v>
      </c>
      <c r="H1318" s="32">
        <v>0.98015600000000003</v>
      </c>
      <c r="I1318" s="32" t="s">
        <v>174</v>
      </c>
      <c r="J1318" s="32">
        <v>1</v>
      </c>
      <c r="K1318" s="32" t="s">
        <v>183</v>
      </c>
      <c r="L1318" s="18">
        <f t="shared" si="20"/>
        <v>999999999</v>
      </c>
    </row>
    <row r="1319" spans="1:12" ht="15" customHeight="1" x14ac:dyDescent="0.25">
      <c r="A1319" s="32" t="s">
        <v>182</v>
      </c>
      <c r="B1319" s="32" t="s">
        <v>55</v>
      </c>
      <c r="C1319" s="32" t="s">
        <v>154</v>
      </c>
      <c r="D1319" s="32">
        <v>2.0099999999999998</v>
      </c>
      <c r="E1319" s="32">
        <v>2.5</v>
      </c>
      <c r="F1319" s="32" t="s">
        <v>173</v>
      </c>
      <c r="G1319" s="32">
        <v>3.0563760000000002</v>
      </c>
      <c r="H1319" s="32">
        <v>1.056376</v>
      </c>
      <c r="I1319" s="32" t="s">
        <v>174</v>
      </c>
      <c r="J1319" s="32">
        <v>1</v>
      </c>
      <c r="K1319" s="32" t="s">
        <v>183</v>
      </c>
      <c r="L1319" s="18">
        <f t="shared" si="20"/>
        <v>999999999</v>
      </c>
    </row>
    <row r="1320" spans="1:12" ht="15" customHeight="1" x14ac:dyDescent="0.25">
      <c r="A1320" s="32" t="s">
        <v>182</v>
      </c>
      <c r="B1320" s="32" t="s">
        <v>55</v>
      </c>
      <c r="C1320" s="32" t="s">
        <v>154</v>
      </c>
      <c r="D1320" s="32">
        <v>20.51</v>
      </c>
      <c r="E1320" s="32">
        <v>44.99</v>
      </c>
      <c r="F1320" s="32" t="s">
        <v>173</v>
      </c>
      <c r="G1320" s="32">
        <v>7.0813560000000004</v>
      </c>
      <c r="H1320" s="32">
        <v>0.17263600000000001</v>
      </c>
      <c r="I1320" s="32" t="s">
        <v>174</v>
      </c>
      <c r="J1320" s="32">
        <v>1</v>
      </c>
      <c r="K1320" s="32" t="s">
        <v>183</v>
      </c>
      <c r="L1320" s="18">
        <f t="shared" si="20"/>
        <v>999999999</v>
      </c>
    </row>
    <row r="1321" spans="1:12" ht="15" customHeight="1" x14ac:dyDescent="0.25">
      <c r="A1321" s="32" t="s">
        <v>182</v>
      </c>
      <c r="B1321" s="32" t="s">
        <v>55</v>
      </c>
      <c r="C1321" s="32" t="s">
        <v>154</v>
      </c>
      <c r="D1321" s="32">
        <v>45</v>
      </c>
      <c r="E1321" s="32">
        <v>70.989999999999995</v>
      </c>
      <c r="F1321" s="32" t="s">
        <v>173</v>
      </c>
      <c r="G1321" s="32">
        <v>11.5892</v>
      </c>
      <c r="H1321" s="32">
        <v>0.15079999999999999</v>
      </c>
      <c r="I1321" s="32" t="s">
        <v>174</v>
      </c>
      <c r="J1321" s="32">
        <v>1</v>
      </c>
      <c r="K1321" s="32" t="s">
        <v>183</v>
      </c>
      <c r="L1321" s="18">
        <f t="shared" si="20"/>
        <v>999999999</v>
      </c>
    </row>
    <row r="1322" spans="1:12" ht="15" customHeight="1" x14ac:dyDescent="0.25">
      <c r="A1322" s="32" t="s">
        <v>182</v>
      </c>
      <c r="B1322" s="32" t="s">
        <v>55</v>
      </c>
      <c r="C1322" s="32" t="s">
        <v>154</v>
      </c>
      <c r="D1322" s="32">
        <v>71</v>
      </c>
      <c r="E1322" s="32">
        <v>99.99</v>
      </c>
      <c r="F1322" s="32" t="s">
        <v>173</v>
      </c>
      <c r="G1322" s="32">
        <v>17.130004</v>
      </c>
      <c r="H1322" s="32">
        <v>0.14132400000000001</v>
      </c>
      <c r="I1322" s="32" t="s">
        <v>174</v>
      </c>
      <c r="J1322" s="32">
        <v>1</v>
      </c>
      <c r="K1322" s="32" t="s">
        <v>183</v>
      </c>
      <c r="L1322" s="18">
        <f t="shared" si="20"/>
        <v>999999999</v>
      </c>
    </row>
    <row r="1323" spans="1:12" ht="15" customHeight="1" x14ac:dyDescent="0.25">
      <c r="A1323" s="32" t="s">
        <v>182</v>
      </c>
      <c r="B1323" s="32" t="s">
        <v>55</v>
      </c>
      <c r="C1323" s="32" t="s">
        <v>154</v>
      </c>
      <c r="D1323" s="32">
        <v>100</v>
      </c>
      <c r="E1323" s="32">
        <v>299.99</v>
      </c>
      <c r="F1323" s="32" t="s">
        <v>173</v>
      </c>
      <c r="G1323" s="32">
        <v>21.574400000000001</v>
      </c>
      <c r="H1323" s="32">
        <v>0.13267200000000001</v>
      </c>
      <c r="I1323" s="32" t="s">
        <v>174</v>
      </c>
      <c r="J1323" s="32">
        <v>1</v>
      </c>
      <c r="K1323" s="32" t="s">
        <v>183</v>
      </c>
      <c r="L1323" s="18">
        <f t="shared" si="20"/>
        <v>999999999</v>
      </c>
    </row>
    <row r="1324" spans="1:12" ht="15" customHeight="1" x14ac:dyDescent="0.25">
      <c r="A1324" s="32" t="s">
        <v>182</v>
      </c>
      <c r="B1324" s="32" t="s">
        <v>55</v>
      </c>
      <c r="C1324" s="32" t="s">
        <v>154</v>
      </c>
      <c r="D1324" s="32">
        <v>300</v>
      </c>
      <c r="E1324" s="32">
        <v>499.99</v>
      </c>
      <c r="F1324" s="32" t="s">
        <v>173</v>
      </c>
      <c r="G1324" s="32">
        <v>63.668799999999997</v>
      </c>
      <c r="H1324" s="32">
        <v>0.13267200000000001</v>
      </c>
      <c r="I1324" s="32" t="s">
        <v>174</v>
      </c>
      <c r="J1324" s="32">
        <v>1</v>
      </c>
      <c r="K1324" s="32" t="s">
        <v>183</v>
      </c>
      <c r="L1324" s="18">
        <f t="shared" si="20"/>
        <v>999999999</v>
      </c>
    </row>
    <row r="1325" spans="1:12" ht="15" customHeight="1" x14ac:dyDescent="0.25">
      <c r="A1325" s="32" t="s">
        <v>182</v>
      </c>
      <c r="B1325" s="32" t="s">
        <v>55</v>
      </c>
      <c r="C1325" s="32" t="s">
        <v>154</v>
      </c>
      <c r="D1325" s="32">
        <v>500</v>
      </c>
      <c r="E1325" s="32">
        <v>999.99</v>
      </c>
      <c r="F1325" s="32" t="s">
        <v>173</v>
      </c>
      <c r="G1325" s="32">
        <v>105.7632</v>
      </c>
      <c r="H1325" s="32">
        <v>0.13267200000000001</v>
      </c>
      <c r="I1325" s="32" t="s">
        <v>174</v>
      </c>
      <c r="J1325" s="32">
        <v>1</v>
      </c>
      <c r="K1325" s="32" t="s">
        <v>183</v>
      </c>
      <c r="L1325" s="18">
        <f t="shared" si="20"/>
        <v>999999999</v>
      </c>
    </row>
    <row r="1326" spans="1:12" ht="15" customHeight="1" x14ac:dyDescent="0.25">
      <c r="A1326" s="32" t="s">
        <v>182</v>
      </c>
      <c r="B1326" s="32" t="s">
        <v>55</v>
      </c>
      <c r="C1326" s="32" t="s">
        <v>154</v>
      </c>
      <c r="D1326" s="32">
        <v>1000</v>
      </c>
      <c r="E1326" s="32">
        <v>9999.99</v>
      </c>
      <c r="F1326" s="32" t="s">
        <v>173</v>
      </c>
      <c r="G1326" s="32">
        <v>211.4992</v>
      </c>
      <c r="H1326" s="32">
        <v>0.13267200000000001</v>
      </c>
      <c r="I1326" s="32" t="s">
        <v>174</v>
      </c>
      <c r="J1326" s="32">
        <v>1</v>
      </c>
      <c r="K1326" s="32" t="s">
        <v>183</v>
      </c>
      <c r="L1326" s="18">
        <f t="shared" si="20"/>
        <v>999999999</v>
      </c>
    </row>
    <row r="1327" spans="1:12" ht="15" customHeight="1" x14ac:dyDescent="0.25">
      <c r="A1327" s="32" t="s">
        <v>182</v>
      </c>
      <c r="B1327" s="32" t="s">
        <v>55</v>
      </c>
      <c r="C1327" s="32" t="s">
        <v>154</v>
      </c>
      <c r="D1327" s="32">
        <v>0.01</v>
      </c>
      <c r="E1327" s="32">
        <v>0.5</v>
      </c>
      <c r="F1327" s="32" t="s">
        <v>173</v>
      </c>
      <c r="G1327" s="32">
        <v>1.734604</v>
      </c>
      <c r="H1327" s="32">
        <v>0.73460400000000003</v>
      </c>
      <c r="I1327" s="32" t="s">
        <v>174</v>
      </c>
      <c r="J1327" s="32">
        <v>1</v>
      </c>
      <c r="K1327" s="32" t="s">
        <v>183</v>
      </c>
      <c r="L1327" s="18">
        <f t="shared" si="20"/>
        <v>999999999</v>
      </c>
    </row>
    <row r="1328" spans="1:12" ht="15" customHeight="1" x14ac:dyDescent="0.25">
      <c r="A1328" s="32" t="s">
        <v>182</v>
      </c>
      <c r="B1328" s="32" t="s">
        <v>55</v>
      </c>
      <c r="C1328" s="32" t="s">
        <v>154</v>
      </c>
      <c r="D1328" s="32">
        <v>0.51</v>
      </c>
      <c r="E1328" s="32">
        <v>1</v>
      </c>
      <c r="F1328" s="32" t="s">
        <v>173</v>
      </c>
      <c r="G1328" s="32">
        <v>1.8231839999999999</v>
      </c>
      <c r="H1328" s="32">
        <v>0.82318400000000003</v>
      </c>
      <c r="I1328" s="32" t="s">
        <v>174</v>
      </c>
      <c r="J1328" s="32">
        <v>1</v>
      </c>
      <c r="K1328" s="32" t="s">
        <v>183</v>
      </c>
      <c r="L1328" s="18">
        <f t="shared" si="20"/>
        <v>999999999</v>
      </c>
    </row>
    <row r="1329" spans="1:12" ht="15" customHeight="1" x14ac:dyDescent="0.25">
      <c r="A1329" s="32" t="s">
        <v>182</v>
      </c>
      <c r="B1329" s="32" t="s">
        <v>55</v>
      </c>
      <c r="C1329" s="32" t="s">
        <v>154</v>
      </c>
      <c r="D1329" s="32">
        <v>1.01</v>
      </c>
      <c r="E1329" s="32">
        <v>1.5</v>
      </c>
      <c r="F1329" s="32" t="s">
        <v>173</v>
      </c>
      <c r="G1329" s="32">
        <v>1.911764</v>
      </c>
      <c r="H1329" s="32">
        <v>0.91176400000000002</v>
      </c>
      <c r="I1329" s="32" t="s">
        <v>174</v>
      </c>
      <c r="J1329" s="32">
        <v>1</v>
      </c>
      <c r="K1329" s="32" t="s">
        <v>183</v>
      </c>
      <c r="L1329" s="18">
        <f t="shared" si="20"/>
        <v>999999999</v>
      </c>
    </row>
    <row r="1330" spans="1:12" ht="15" customHeight="1" x14ac:dyDescent="0.25">
      <c r="A1330" s="32" t="s">
        <v>182</v>
      </c>
      <c r="B1330" s="32" t="s">
        <v>55</v>
      </c>
      <c r="C1330" s="32" t="s">
        <v>154</v>
      </c>
      <c r="D1330" s="32">
        <v>1.51</v>
      </c>
      <c r="E1330" s="32">
        <v>2</v>
      </c>
      <c r="F1330" s="32" t="s">
        <v>173</v>
      </c>
      <c r="G1330" s="32">
        <v>3.0003440000000001</v>
      </c>
      <c r="H1330" s="32">
        <v>1.0003439999999999</v>
      </c>
      <c r="I1330" s="32" t="s">
        <v>174</v>
      </c>
      <c r="J1330" s="32">
        <v>1</v>
      </c>
      <c r="K1330" s="32" t="s">
        <v>183</v>
      </c>
      <c r="L1330" s="18">
        <f t="shared" si="20"/>
        <v>999999999</v>
      </c>
    </row>
    <row r="1331" spans="1:12" ht="15" customHeight="1" x14ac:dyDescent="0.25">
      <c r="A1331" s="32" t="s">
        <v>182</v>
      </c>
      <c r="B1331" s="32" t="s">
        <v>55</v>
      </c>
      <c r="C1331" s="32" t="s">
        <v>154</v>
      </c>
      <c r="D1331" s="32">
        <v>2.0099999999999998</v>
      </c>
      <c r="E1331" s="32">
        <v>2.5</v>
      </c>
      <c r="F1331" s="32" t="s">
        <v>173</v>
      </c>
      <c r="G1331" s="32">
        <v>3.088924</v>
      </c>
      <c r="H1331" s="32">
        <v>1.088924</v>
      </c>
      <c r="I1331" s="32" t="s">
        <v>174</v>
      </c>
      <c r="J1331" s="32">
        <v>1</v>
      </c>
      <c r="K1331" s="32" t="s">
        <v>183</v>
      </c>
      <c r="L1331" s="18">
        <f t="shared" si="20"/>
        <v>999999999</v>
      </c>
    </row>
    <row r="1332" spans="1:12" ht="15" customHeight="1" x14ac:dyDescent="0.25">
      <c r="A1332" s="32" t="s">
        <v>182</v>
      </c>
      <c r="B1332" s="32" t="s">
        <v>55</v>
      </c>
      <c r="C1332" s="32" t="s">
        <v>154</v>
      </c>
      <c r="D1332" s="32">
        <v>20.51</v>
      </c>
      <c r="E1332" s="32">
        <v>44.99</v>
      </c>
      <c r="F1332" s="32" t="s">
        <v>173</v>
      </c>
      <c r="G1332" s="32">
        <v>5.8304479999999996</v>
      </c>
      <c r="H1332" s="32">
        <v>0.160688</v>
      </c>
      <c r="I1332" s="32" t="s">
        <v>174</v>
      </c>
      <c r="J1332" s="32">
        <v>1</v>
      </c>
      <c r="K1332" s="32" t="s">
        <v>183</v>
      </c>
      <c r="L1332" s="18">
        <f t="shared" si="20"/>
        <v>999999999</v>
      </c>
    </row>
    <row r="1333" spans="1:12" ht="15" customHeight="1" x14ac:dyDescent="0.25">
      <c r="A1333" s="32" t="s">
        <v>182</v>
      </c>
      <c r="B1333" s="32" t="s">
        <v>55</v>
      </c>
      <c r="C1333" s="32" t="s">
        <v>154</v>
      </c>
      <c r="D1333" s="32">
        <v>45</v>
      </c>
      <c r="E1333" s="32">
        <v>70.989999999999995</v>
      </c>
      <c r="F1333" s="32" t="s">
        <v>173</v>
      </c>
      <c r="G1333" s="32">
        <v>11.14424</v>
      </c>
      <c r="H1333" s="32">
        <v>0.14091200000000001</v>
      </c>
      <c r="I1333" s="32" t="s">
        <v>174</v>
      </c>
      <c r="J1333" s="32">
        <v>1</v>
      </c>
      <c r="K1333" s="32" t="s">
        <v>183</v>
      </c>
      <c r="L1333" s="18">
        <f t="shared" si="20"/>
        <v>999999999</v>
      </c>
    </row>
    <row r="1334" spans="1:12" ht="15" customHeight="1" x14ac:dyDescent="0.25">
      <c r="A1334" s="32" t="s">
        <v>182</v>
      </c>
      <c r="B1334" s="32" t="s">
        <v>55</v>
      </c>
      <c r="C1334" s="32" t="s">
        <v>154</v>
      </c>
      <c r="D1334" s="32">
        <v>71</v>
      </c>
      <c r="E1334" s="32">
        <v>99.99</v>
      </c>
      <c r="F1334" s="32" t="s">
        <v>173</v>
      </c>
      <c r="G1334" s="32">
        <v>15.486459999999999</v>
      </c>
      <c r="H1334" s="32">
        <v>0.13225999999999999</v>
      </c>
      <c r="I1334" s="32" t="s">
        <v>174</v>
      </c>
      <c r="J1334" s="32">
        <v>1</v>
      </c>
      <c r="K1334" s="32" t="s">
        <v>183</v>
      </c>
      <c r="L1334" s="18">
        <f t="shared" si="20"/>
        <v>999999999</v>
      </c>
    </row>
    <row r="1335" spans="1:12" ht="15" customHeight="1" x14ac:dyDescent="0.25">
      <c r="A1335" s="32" t="s">
        <v>182</v>
      </c>
      <c r="B1335" s="32" t="s">
        <v>55</v>
      </c>
      <c r="C1335" s="32" t="s">
        <v>154</v>
      </c>
      <c r="D1335" s="32">
        <v>100</v>
      </c>
      <c r="E1335" s="32">
        <v>299.99</v>
      </c>
      <c r="F1335" s="32" t="s">
        <v>173</v>
      </c>
      <c r="G1335" s="32">
        <v>19.709199999999999</v>
      </c>
      <c r="H1335" s="32">
        <v>0.12402000000000001</v>
      </c>
      <c r="I1335" s="32" t="s">
        <v>174</v>
      </c>
      <c r="J1335" s="32">
        <v>1</v>
      </c>
      <c r="K1335" s="32" t="s">
        <v>183</v>
      </c>
      <c r="L1335" s="18">
        <f t="shared" si="20"/>
        <v>999999999</v>
      </c>
    </row>
    <row r="1336" spans="1:12" ht="15" customHeight="1" x14ac:dyDescent="0.25">
      <c r="A1336" s="32" t="s">
        <v>182</v>
      </c>
      <c r="B1336" s="32" t="s">
        <v>55</v>
      </c>
      <c r="C1336" s="32" t="s">
        <v>154</v>
      </c>
      <c r="D1336" s="32">
        <v>300</v>
      </c>
      <c r="E1336" s="32">
        <v>499.99</v>
      </c>
      <c r="F1336" s="32" t="s">
        <v>173</v>
      </c>
      <c r="G1336" s="32">
        <v>59.0732</v>
      </c>
      <c r="H1336" s="32">
        <v>0.12402000000000001</v>
      </c>
      <c r="I1336" s="32" t="s">
        <v>174</v>
      </c>
      <c r="J1336" s="32">
        <v>1</v>
      </c>
      <c r="K1336" s="32" t="s">
        <v>183</v>
      </c>
      <c r="L1336" s="18">
        <f t="shared" si="20"/>
        <v>999999999</v>
      </c>
    </row>
    <row r="1337" spans="1:12" ht="15" customHeight="1" x14ac:dyDescent="0.25">
      <c r="A1337" s="32" t="s">
        <v>182</v>
      </c>
      <c r="B1337" s="32" t="s">
        <v>55</v>
      </c>
      <c r="C1337" s="32" t="s">
        <v>154</v>
      </c>
      <c r="D1337" s="32">
        <v>500</v>
      </c>
      <c r="E1337" s="32">
        <v>999.99</v>
      </c>
      <c r="F1337" s="32" t="s">
        <v>173</v>
      </c>
      <c r="G1337" s="32">
        <v>97.437200000000004</v>
      </c>
      <c r="H1337" s="32">
        <v>0.12402000000000001</v>
      </c>
      <c r="I1337" s="32" t="s">
        <v>174</v>
      </c>
      <c r="J1337" s="32">
        <v>1</v>
      </c>
      <c r="K1337" s="32" t="s">
        <v>183</v>
      </c>
      <c r="L1337" s="18">
        <f t="shared" si="20"/>
        <v>999999999</v>
      </c>
    </row>
    <row r="1338" spans="1:12" ht="15" customHeight="1" x14ac:dyDescent="0.25">
      <c r="A1338" s="32" t="s">
        <v>182</v>
      </c>
      <c r="B1338" s="32" t="s">
        <v>55</v>
      </c>
      <c r="C1338" s="32" t="s">
        <v>154</v>
      </c>
      <c r="D1338" s="32">
        <v>1000</v>
      </c>
      <c r="E1338" s="32">
        <v>9999.99</v>
      </c>
      <c r="F1338" s="32" t="s">
        <v>173</v>
      </c>
      <c r="G1338" s="32">
        <v>193.84719999999999</v>
      </c>
      <c r="H1338" s="32">
        <v>0.12402000000000001</v>
      </c>
      <c r="I1338" s="32" t="s">
        <v>174</v>
      </c>
      <c r="J1338" s="32">
        <v>1</v>
      </c>
      <c r="K1338" s="32" t="s">
        <v>183</v>
      </c>
      <c r="L1338" s="18">
        <f t="shared" si="20"/>
        <v>999999999</v>
      </c>
    </row>
    <row r="1339" spans="1:12" ht="15" customHeight="1" x14ac:dyDescent="0.25">
      <c r="A1339" s="32" t="s">
        <v>186</v>
      </c>
      <c r="B1339" s="32" t="s">
        <v>55</v>
      </c>
      <c r="C1339" s="32" t="s">
        <v>154</v>
      </c>
      <c r="D1339" s="32">
        <v>0</v>
      </c>
      <c r="E1339" s="32">
        <v>0.5</v>
      </c>
      <c r="F1339" s="32" t="s">
        <v>173</v>
      </c>
      <c r="G1339" s="32">
        <v>1.5584</v>
      </c>
      <c r="H1339" s="32">
        <v>0.55840000000000001</v>
      </c>
      <c r="I1339" s="32" t="s">
        <v>174</v>
      </c>
      <c r="J1339" s="32">
        <v>1</v>
      </c>
      <c r="K1339" s="32" t="s">
        <v>183</v>
      </c>
      <c r="L1339" s="18">
        <f t="shared" si="20"/>
        <v>999999999</v>
      </c>
    </row>
    <row r="1340" spans="1:12" ht="15" customHeight="1" x14ac:dyDescent="0.25">
      <c r="A1340" s="32" t="s">
        <v>186</v>
      </c>
      <c r="B1340" s="32" t="s">
        <v>55</v>
      </c>
      <c r="C1340" s="32" t="s">
        <v>154</v>
      </c>
      <c r="D1340" s="32">
        <v>0.51</v>
      </c>
      <c r="E1340" s="32">
        <v>1</v>
      </c>
      <c r="F1340" s="32" t="s">
        <v>173</v>
      </c>
      <c r="G1340" s="32">
        <v>1.6288</v>
      </c>
      <c r="H1340" s="32">
        <v>0.62880000000000003</v>
      </c>
      <c r="I1340" s="32" t="s">
        <v>174</v>
      </c>
      <c r="J1340" s="32">
        <v>1</v>
      </c>
      <c r="K1340" s="32" t="s">
        <v>183</v>
      </c>
      <c r="L1340" s="18">
        <f t="shared" si="20"/>
        <v>999999999</v>
      </c>
    </row>
    <row r="1341" spans="1:12" ht="15" customHeight="1" x14ac:dyDescent="0.25">
      <c r="A1341" s="32" t="s">
        <v>186</v>
      </c>
      <c r="B1341" s="32" t="s">
        <v>55</v>
      </c>
      <c r="C1341" s="32" t="s">
        <v>154</v>
      </c>
      <c r="D1341" s="32">
        <v>1.01</v>
      </c>
      <c r="E1341" s="32">
        <v>1.5</v>
      </c>
      <c r="F1341" s="32" t="s">
        <v>173</v>
      </c>
      <c r="G1341" s="32">
        <v>1.6988000000000001</v>
      </c>
      <c r="H1341" s="32">
        <v>0.69879999999999998</v>
      </c>
      <c r="I1341" s="32" t="s">
        <v>174</v>
      </c>
      <c r="J1341" s="32">
        <v>1</v>
      </c>
      <c r="K1341" s="32" t="s">
        <v>183</v>
      </c>
      <c r="L1341" s="18">
        <f t="shared" si="20"/>
        <v>999999999</v>
      </c>
    </row>
    <row r="1342" spans="1:12" ht="15" customHeight="1" x14ac:dyDescent="0.25">
      <c r="A1342" s="32" t="s">
        <v>186</v>
      </c>
      <c r="B1342" s="32" t="s">
        <v>55</v>
      </c>
      <c r="C1342" s="32" t="s">
        <v>154</v>
      </c>
      <c r="D1342" s="32">
        <v>1.51</v>
      </c>
      <c r="E1342" s="32">
        <v>2</v>
      </c>
      <c r="F1342" s="32" t="s">
        <v>173</v>
      </c>
      <c r="G1342" s="32">
        <v>1.7692000000000001</v>
      </c>
      <c r="H1342" s="32">
        <v>0.76919999999999999</v>
      </c>
      <c r="I1342" s="32" t="s">
        <v>174</v>
      </c>
      <c r="J1342" s="32">
        <v>1</v>
      </c>
      <c r="K1342" s="32" t="s">
        <v>183</v>
      </c>
      <c r="L1342" s="18">
        <f t="shared" si="20"/>
        <v>999999999</v>
      </c>
    </row>
    <row r="1343" spans="1:12" ht="15" customHeight="1" x14ac:dyDescent="0.25">
      <c r="A1343" s="32" t="s">
        <v>186</v>
      </c>
      <c r="B1343" s="32" t="s">
        <v>55</v>
      </c>
      <c r="C1343" s="32" t="s">
        <v>154</v>
      </c>
      <c r="D1343" s="32">
        <v>2.0099999999999998</v>
      </c>
      <c r="E1343" s="32">
        <v>2.5</v>
      </c>
      <c r="F1343" s="32" t="s">
        <v>173</v>
      </c>
      <c r="G1343" s="32">
        <v>1.8391999999999999</v>
      </c>
      <c r="H1343" s="32">
        <v>0.83919999999999995</v>
      </c>
      <c r="I1343" s="32" t="s">
        <v>174</v>
      </c>
      <c r="J1343" s="32">
        <v>1</v>
      </c>
      <c r="K1343" s="32" t="s">
        <v>183</v>
      </c>
      <c r="L1343" s="18">
        <f t="shared" si="20"/>
        <v>999999999</v>
      </c>
    </row>
    <row r="1344" spans="1:12" ht="15" customHeight="1" x14ac:dyDescent="0.25">
      <c r="A1344" s="32" t="s">
        <v>186</v>
      </c>
      <c r="B1344" s="32" t="s">
        <v>55</v>
      </c>
      <c r="C1344" s="32" t="s">
        <v>154</v>
      </c>
      <c r="D1344" s="32">
        <v>2.5099999999999998</v>
      </c>
      <c r="E1344" s="32">
        <v>3</v>
      </c>
      <c r="F1344" s="32" t="s">
        <v>173</v>
      </c>
      <c r="G1344" s="32">
        <v>1.9092</v>
      </c>
      <c r="H1344" s="32">
        <v>0.90920000000000001</v>
      </c>
      <c r="I1344" s="32" t="s">
        <v>174</v>
      </c>
      <c r="J1344" s="32">
        <v>1</v>
      </c>
      <c r="K1344" s="32" t="s">
        <v>183</v>
      </c>
      <c r="L1344" s="18">
        <f t="shared" si="20"/>
        <v>999999999</v>
      </c>
    </row>
    <row r="1345" spans="1:12" ht="15" customHeight="1" x14ac:dyDescent="0.25">
      <c r="A1345" s="32" t="s">
        <v>186</v>
      </c>
      <c r="B1345" s="32" t="s">
        <v>55</v>
      </c>
      <c r="C1345" s="32" t="s">
        <v>154</v>
      </c>
      <c r="D1345" s="32">
        <v>3.01</v>
      </c>
      <c r="E1345" s="32">
        <v>3.5</v>
      </c>
      <c r="F1345" s="32" t="s">
        <v>173</v>
      </c>
      <c r="G1345" s="32">
        <v>1.9796</v>
      </c>
      <c r="H1345" s="32">
        <v>0.97960000000000003</v>
      </c>
      <c r="I1345" s="32" t="s">
        <v>174</v>
      </c>
      <c r="J1345" s="32">
        <v>1</v>
      </c>
      <c r="K1345" s="32" t="s">
        <v>183</v>
      </c>
      <c r="L1345" s="18">
        <f t="shared" si="20"/>
        <v>999999999</v>
      </c>
    </row>
    <row r="1346" spans="1:12" ht="15" customHeight="1" x14ac:dyDescent="0.25">
      <c r="A1346" s="32" t="s">
        <v>186</v>
      </c>
      <c r="B1346" s="32" t="s">
        <v>55</v>
      </c>
      <c r="C1346" s="32" t="s">
        <v>154</v>
      </c>
      <c r="D1346" s="32">
        <v>3.51</v>
      </c>
      <c r="E1346" s="32">
        <v>4</v>
      </c>
      <c r="F1346" s="32" t="s">
        <v>173</v>
      </c>
      <c r="G1346" s="32">
        <v>3.0495999999999999</v>
      </c>
      <c r="H1346" s="32">
        <v>1.0496000000000001</v>
      </c>
      <c r="I1346" s="32" t="s">
        <v>174</v>
      </c>
      <c r="J1346" s="32">
        <v>1</v>
      </c>
      <c r="K1346" s="32" t="s">
        <v>183</v>
      </c>
      <c r="L1346" s="18">
        <f t="shared" ref="L1346:L1409" si="21">IF(AND(B1346=Quote_Port,D1346&lt;=Quote_Weight,Quote_Weight&lt;=E1346,OR(Quote_2Day="No",J1346&lt;=2)),MAX(G1346,Quote_Weight*H1346)*Quote_USDINR,999999999)</f>
        <v>999999999</v>
      </c>
    </row>
    <row r="1347" spans="1:12" ht="15" customHeight="1" x14ac:dyDescent="0.25">
      <c r="A1347" s="32" t="s">
        <v>186</v>
      </c>
      <c r="B1347" s="32" t="s">
        <v>55</v>
      </c>
      <c r="C1347" s="32" t="s">
        <v>154</v>
      </c>
      <c r="D1347" s="32">
        <v>4.01</v>
      </c>
      <c r="E1347" s="32">
        <v>4.5</v>
      </c>
      <c r="F1347" s="32" t="s">
        <v>173</v>
      </c>
      <c r="G1347" s="32">
        <v>3.1196000000000002</v>
      </c>
      <c r="H1347" s="32">
        <v>1.1195999999999999</v>
      </c>
      <c r="I1347" s="32" t="s">
        <v>174</v>
      </c>
      <c r="J1347" s="32">
        <v>1</v>
      </c>
      <c r="K1347" s="32" t="s">
        <v>183</v>
      </c>
      <c r="L1347" s="18">
        <f t="shared" si="21"/>
        <v>999999999</v>
      </c>
    </row>
    <row r="1348" spans="1:12" ht="15" customHeight="1" x14ac:dyDescent="0.25">
      <c r="A1348" s="32" t="s">
        <v>186</v>
      </c>
      <c r="B1348" s="32" t="s">
        <v>55</v>
      </c>
      <c r="C1348" s="32" t="s">
        <v>154</v>
      </c>
      <c r="D1348" s="32">
        <v>4.51</v>
      </c>
      <c r="E1348" s="32">
        <v>5</v>
      </c>
      <c r="F1348" s="32" t="s">
        <v>173</v>
      </c>
      <c r="G1348" s="32">
        <v>3.1896</v>
      </c>
      <c r="H1348" s="32">
        <v>1.1896</v>
      </c>
      <c r="I1348" s="32" t="s">
        <v>174</v>
      </c>
      <c r="J1348" s="32">
        <v>1</v>
      </c>
      <c r="K1348" s="32" t="s">
        <v>183</v>
      </c>
      <c r="L1348" s="18">
        <f t="shared" si="21"/>
        <v>999999999</v>
      </c>
    </row>
    <row r="1349" spans="1:12" ht="15" customHeight="1" x14ac:dyDescent="0.25">
      <c r="A1349" s="32" t="s">
        <v>186</v>
      </c>
      <c r="B1349" s="32" t="s">
        <v>55</v>
      </c>
      <c r="C1349" s="32" t="s">
        <v>154</v>
      </c>
      <c r="D1349" s="32">
        <v>5.01</v>
      </c>
      <c r="E1349" s="32">
        <v>5.5</v>
      </c>
      <c r="F1349" s="32" t="s">
        <v>173</v>
      </c>
      <c r="G1349" s="32">
        <v>3.2115999999999998</v>
      </c>
      <c r="H1349" s="32">
        <v>1.2116</v>
      </c>
      <c r="I1349" s="32" t="s">
        <v>174</v>
      </c>
      <c r="J1349" s="32">
        <v>1</v>
      </c>
      <c r="K1349" s="32" t="s">
        <v>183</v>
      </c>
      <c r="L1349" s="18">
        <f t="shared" si="21"/>
        <v>999999999</v>
      </c>
    </row>
    <row r="1350" spans="1:12" ht="15" customHeight="1" x14ac:dyDescent="0.25">
      <c r="A1350" s="32" t="s">
        <v>186</v>
      </c>
      <c r="B1350" s="32" t="s">
        <v>55</v>
      </c>
      <c r="C1350" s="32" t="s">
        <v>154</v>
      </c>
      <c r="D1350" s="32">
        <v>5.51</v>
      </c>
      <c r="E1350" s="32">
        <v>6</v>
      </c>
      <c r="F1350" s="32" t="s">
        <v>173</v>
      </c>
      <c r="G1350" s="32">
        <v>3.2336</v>
      </c>
      <c r="H1350" s="32">
        <v>1.2336</v>
      </c>
      <c r="I1350" s="32" t="s">
        <v>174</v>
      </c>
      <c r="J1350" s="32">
        <v>1</v>
      </c>
      <c r="K1350" s="32" t="s">
        <v>183</v>
      </c>
      <c r="L1350" s="18">
        <f t="shared" si="21"/>
        <v>999999999</v>
      </c>
    </row>
    <row r="1351" spans="1:12" ht="15" customHeight="1" x14ac:dyDescent="0.25">
      <c r="A1351" s="32" t="s">
        <v>186</v>
      </c>
      <c r="B1351" s="32" t="s">
        <v>55</v>
      </c>
      <c r="C1351" s="32" t="s">
        <v>154</v>
      </c>
      <c r="D1351" s="32">
        <v>6.01</v>
      </c>
      <c r="E1351" s="32">
        <v>6.5</v>
      </c>
      <c r="F1351" s="32" t="s">
        <v>173</v>
      </c>
      <c r="G1351" s="32">
        <v>3.2555999999999998</v>
      </c>
      <c r="H1351" s="32">
        <v>1.2556</v>
      </c>
      <c r="I1351" s="32" t="s">
        <v>174</v>
      </c>
      <c r="J1351" s="32">
        <v>1</v>
      </c>
      <c r="K1351" s="32" t="s">
        <v>183</v>
      </c>
      <c r="L1351" s="18">
        <f t="shared" si="21"/>
        <v>999999999</v>
      </c>
    </row>
    <row r="1352" spans="1:12" ht="15" customHeight="1" x14ac:dyDescent="0.25">
      <c r="A1352" s="32" t="s">
        <v>186</v>
      </c>
      <c r="B1352" s="32" t="s">
        <v>55</v>
      </c>
      <c r="C1352" s="32" t="s">
        <v>154</v>
      </c>
      <c r="D1352" s="32">
        <v>6.51</v>
      </c>
      <c r="E1352" s="32">
        <v>7</v>
      </c>
      <c r="F1352" s="32" t="s">
        <v>173</v>
      </c>
      <c r="G1352" s="32">
        <v>3.2776000000000001</v>
      </c>
      <c r="H1352" s="32">
        <v>1.2776000000000001</v>
      </c>
      <c r="I1352" s="32" t="s">
        <v>174</v>
      </c>
      <c r="J1352" s="32">
        <v>1</v>
      </c>
      <c r="K1352" s="32" t="s">
        <v>183</v>
      </c>
      <c r="L1352" s="18">
        <f t="shared" si="21"/>
        <v>999999999</v>
      </c>
    </row>
    <row r="1353" spans="1:12" ht="15" customHeight="1" x14ac:dyDescent="0.25">
      <c r="A1353" s="32" t="s">
        <v>186</v>
      </c>
      <c r="B1353" s="32" t="s">
        <v>55</v>
      </c>
      <c r="C1353" s="32" t="s">
        <v>154</v>
      </c>
      <c r="D1353" s="32">
        <v>7.01</v>
      </c>
      <c r="E1353" s="32">
        <v>7.5</v>
      </c>
      <c r="F1353" s="32" t="s">
        <v>173</v>
      </c>
      <c r="G1353" s="32">
        <v>3.2995999999999999</v>
      </c>
      <c r="H1353" s="32">
        <v>1.2996000000000001</v>
      </c>
      <c r="I1353" s="32" t="s">
        <v>174</v>
      </c>
      <c r="J1353" s="32">
        <v>1</v>
      </c>
      <c r="K1353" s="32" t="s">
        <v>183</v>
      </c>
      <c r="L1353" s="18">
        <f t="shared" si="21"/>
        <v>999999999</v>
      </c>
    </row>
    <row r="1354" spans="1:12" ht="15" customHeight="1" x14ac:dyDescent="0.25">
      <c r="A1354" s="32" t="s">
        <v>186</v>
      </c>
      <c r="B1354" s="32" t="s">
        <v>55</v>
      </c>
      <c r="C1354" s="32" t="s">
        <v>154</v>
      </c>
      <c r="D1354" s="32">
        <v>7.51</v>
      </c>
      <c r="E1354" s="32">
        <v>8</v>
      </c>
      <c r="F1354" s="32" t="s">
        <v>173</v>
      </c>
      <c r="G1354" s="32">
        <v>3.3216000000000001</v>
      </c>
      <c r="H1354" s="32">
        <v>1.3216000000000001</v>
      </c>
      <c r="I1354" s="32" t="s">
        <v>174</v>
      </c>
      <c r="J1354" s="32">
        <v>1</v>
      </c>
      <c r="K1354" s="32" t="s">
        <v>183</v>
      </c>
      <c r="L1354" s="18">
        <f t="shared" si="21"/>
        <v>999999999</v>
      </c>
    </row>
    <row r="1355" spans="1:12" ht="15" customHeight="1" x14ac:dyDescent="0.25">
      <c r="A1355" s="32" t="s">
        <v>186</v>
      </c>
      <c r="B1355" s="32" t="s">
        <v>55</v>
      </c>
      <c r="C1355" s="32" t="s">
        <v>154</v>
      </c>
      <c r="D1355" s="32">
        <v>8.01</v>
      </c>
      <c r="E1355" s="32">
        <v>8.5</v>
      </c>
      <c r="F1355" s="32" t="s">
        <v>173</v>
      </c>
      <c r="G1355" s="32">
        <v>3.3435999999999999</v>
      </c>
      <c r="H1355" s="32">
        <v>1.3435999999999999</v>
      </c>
      <c r="I1355" s="32" t="s">
        <v>174</v>
      </c>
      <c r="J1355" s="32">
        <v>1</v>
      </c>
      <c r="K1355" s="32" t="s">
        <v>183</v>
      </c>
      <c r="L1355" s="18">
        <f t="shared" si="21"/>
        <v>999999999</v>
      </c>
    </row>
    <row r="1356" spans="1:12" ht="15" customHeight="1" x14ac:dyDescent="0.25">
      <c r="A1356" s="32" t="s">
        <v>186</v>
      </c>
      <c r="B1356" s="32" t="s">
        <v>55</v>
      </c>
      <c r="C1356" s="32" t="s">
        <v>154</v>
      </c>
      <c r="D1356" s="32">
        <v>8.51</v>
      </c>
      <c r="E1356" s="32">
        <v>9</v>
      </c>
      <c r="F1356" s="32" t="s">
        <v>173</v>
      </c>
      <c r="G1356" s="32">
        <v>3.3656000000000001</v>
      </c>
      <c r="H1356" s="32">
        <v>1.3655999999999999</v>
      </c>
      <c r="I1356" s="32" t="s">
        <v>174</v>
      </c>
      <c r="J1356" s="32">
        <v>1</v>
      </c>
      <c r="K1356" s="32" t="s">
        <v>183</v>
      </c>
      <c r="L1356" s="18">
        <f t="shared" si="21"/>
        <v>999999999</v>
      </c>
    </row>
    <row r="1357" spans="1:12" ht="15" customHeight="1" x14ac:dyDescent="0.25">
      <c r="A1357" s="32" t="s">
        <v>186</v>
      </c>
      <c r="B1357" s="32" t="s">
        <v>55</v>
      </c>
      <c r="C1357" s="32" t="s">
        <v>154</v>
      </c>
      <c r="D1357" s="32">
        <v>9.01</v>
      </c>
      <c r="E1357" s="32">
        <v>9.5</v>
      </c>
      <c r="F1357" s="32" t="s">
        <v>173</v>
      </c>
      <c r="G1357" s="32">
        <v>3.3875999999999999</v>
      </c>
      <c r="H1357" s="32">
        <v>1.3875999999999999</v>
      </c>
      <c r="I1357" s="32" t="s">
        <v>174</v>
      </c>
      <c r="J1357" s="32">
        <v>1</v>
      </c>
      <c r="K1357" s="32" t="s">
        <v>183</v>
      </c>
      <c r="L1357" s="18">
        <f t="shared" si="21"/>
        <v>999999999</v>
      </c>
    </row>
    <row r="1358" spans="1:12" ht="15" customHeight="1" x14ac:dyDescent="0.25">
      <c r="A1358" s="32" t="s">
        <v>186</v>
      </c>
      <c r="B1358" s="32" t="s">
        <v>55</v>
      </c>
      <c r="C1358" s="32" t="s">
        <v>154</v>
      </c>
      <c r="D1358" s="32">
        <v>9.51</v>
      </c>
      <c r="E1358" s="32">
        <v>10</v>
      </c>
      <c r="F1358" s="32" t="s">
        <v>173</v>
      </c>
      <c r="G1358" s="32">
        <v>3.4096000000000002</v>
      </c>
      <c r="H1358" s="32">
        <v>1.4096</v>
      </c>
      <c r="I1358" s="32" t="s">
        <v>174</v>
      </c>
      <c r="J1358" s="32">
        <v>1</v>
      </c>
      <c r="K1358" s="32" t="s">
        <v>183</v>
      </c>
      <c r="L1358" s="18">
        <f t="shared" si="21"/>
        <v>999999999</v>
      </c>
    </row>
    <row r="1359" spans="1:12" ht="15" customHeight="1" x14ac:dyDescent="0.25">
      <c r="A1359" s="32" t="s">
        <v>186</v>
      </c>
      <c r="B1359" s="32" t="s">
        <v>55</v>
      </c>
      <c r="C1359" s="32" t="s">
        <v>154</v>
      </c>
      <c r="D1359" s="32">
        <v>10.01</v>
      </c>
      <c r="E1359" s="32">
        <v>10.5</v>
      </c>
      <c r="F1359" s="32" t="s">
        <v>173</v>
      </c>
      <c r="G1359" s="32">
        <v>3.4192</v>
      </c>
      <c r="H1359" s="32">
        <v>1.4192</v>
      </c>
      <c r="I1359" s="32" t="s">
        <v>174</v>
      </c>
      <c r="J1359" s="32">
        <v>1</v>
      </c>
      <c r="K1359" s="32" t="s">
        <v>183</v>
      </c>
      <c r="L1359" s="18">
        <f t="shared" si="21"/>
        <v>999999999</v>
      </c>
    </row>
    <row r="1360" spans="1:12" ht="15" customHeight="1" x14ac:dyDescent="0.25">
      <c r="A1360" s="32" t="s">
        <v>186</v>
      </c>
      <c r="B1360" s="32" t="s">
        <v>55</v>
      </c>
      <c r="C1360" s="32" t="s">
        <v>154</v>
      </c>
      <c r="D1360" s="32">
        <v>10.51</v>
      </c>
      <c r="E1360" s="32">
        <v>11</v>
      </c>
      <c r="F1360" s="32" t="s">
        <v>173</v>
      </c>
      <c r="G1360" s="32">
        <v>3.4287999999999998</v>
      </c>
      <c r="H1360" s="32">
        <v>1.4288000000000001</v>
      </c>
      <c r="I1360" s="32" t="s">
        <v>174</v>
      </c>
      <c r="J1360" s="32">
        <v>1</v>
      </c>
      <c r="K1360" s="32" t="s">
        <v>183</v>
      </c>
      <c r="L1360" s="18">
        <f t="shared" si="21"/>
        <v>999999999</v>
      </c>
    </row>
    <row r="1361" spans="1:12" ht="15" customHeight="1" x14ac:dyDescent="0.25">
      <c r="A1361" s="32" t="s">
        <v>186</v>
      </c>
      <c r="B1361" s="32" t="s">
        <v>55</v>
      </c>
      <c r="C1361" s="32" t="s">
        <v>154</v>
      </c>
      <c r="D1361" s="32">
        <v>11.01</v>
      </c>
      <c r="E1361" s="32">
        <v>11.5</v>
      </c>
      <c r="F1361" s="32" t="s">
        <v>173</v>
      </c>
      <c r="G1361" s="32">
        <v>3.4384000000000001</v>
      </c>
      <c r="H1361" s="32">
        <v>1.4383999999999999</v>
      </c>
      <c r="I1361" s="32" t="s">
        <v>174</v>
      </c>
      <c r="J1361" s="32">
        <v>1</v>
      </c>
      <c r="K1361" s="32" t="s">
        <v>183</v>
      </c>
      <c r="L1361" s="18">
        <f t="shared" si="21"/>
        <v>999999999</v>
      </c>
    </row>
    <row r="1362" spans="1:12" ht="15" customHeight="1" x14ac:dyDescent="0.25">
      <c r="A1362" s="32" t="s">
        <v>186</v>
      </c>
      <c r="B1362" s="32" t="s">
        <v>55</v>
      </c>
      <c r="C1362" s="32" t="s">
        <v>154</v>
      </c>
      <c r="D1362" s="32">
        <v>11.51</v>
      </c>
      <c r="E1362" s="32">
        <v>12</v>
      </c>
      <c r="F1362" s="32" t="s">
        <v>173</v>
      </c>
      <c r="G1362" s="32">
        <v>3.448</v>
      </c>
      <c r="H1362" s="32">
        <v>1.448</v>
      </c>
      <c r="I1362" s="32" t="s">
        <v>174</v>
      </c>
      <c r="J1362" s="32">
        <v>1</v>
      </c>
      <c r="K1362" s="32" t="s">
        <v>183</v>
      </c>
      <c r="L1362" s="18">
        <f t="shared" si="21"/>
        <v>999999999</v>
      </c>
    </row>
    <row r="1363" spans="1:12" ht="15" customHeight="1" x14ac:dyDescent="0.25">
      <c r="A1363" s="32" t="s">
        <v>186</v>
      </c>
      <c r="B1363" s="32" t="s">
        <v>55</v>
      </c>
      <c r="C1363" s="32" t="s">
        <v>154</v>
      </c>
      <c r="D1363" s="32">
        <v>12.01</v>
      </c>
      <c r="E1363" s="32">
        <v>12.5</v>
      </c>
      <c r="F1363" s="32" t="s">
        <v>173</v>
      </c>
      <c r="G1363" s="32">
        <v>3.4575999999999998</v>
      </c>
      <c r="H1363" s="32">
        <v>1.4576</v>
      </c>
      <c r="I1363" s="32" t="s">
        <v>174</v>
      </c>
      <c r="J1363" s="32">
        <v>1</v>
      </c>
      <c r="K1363" s="32" t="s">
        <v>183</v>
      </c>
      <c r="L1363" s="18">
        <f t="shared" si="21"/>
        <v>999999999</v>
      </c>
    </row>
    <row r="1364" spans="1:12" ht="15" customHeight="1" x14ac:dyDescent="0.25">
      <c r="A1364" s="32" t="s">
        <v>186</v>
      </c>
      <c r="B1364" s="32" t="s">
        <v>55</v>
      </c>
      <c r="C1364" s="32" t="s">
        <v>154</v>
      </c>
      <c r="D1364" s="32">
        <v>12.51</v>
      </c>
      <c r="E1364" s="32">
        <v>13</v>
      </c>
      <c r="F1364" s="32" t="s">
        <v>173</v>
      </c>
      <c r="G1364" s="32">
        <v>3.4672000000000001</v>
      </c>
      <c r="H1364" s="32">
        <v>1.4672000000000001</v>
      </c>
      <c r="I1364" s="32" t="s">
        <v>174</v>
      </c>
      <c r="J1364" s="32">
        <v>1</v>
      </c>
      <c r="K1364" s="32" t="s">
        <v>183</v>
      </c>
      <c r="L1364" s="18">
        <f t="shared" si="21"/>
        <v>999999999</v>
      </c>
    </row>
    <row r="1365" spans="1:12" ht="15" customHeight="1" x14ac:dyDescent="0.25">
      <c r="A1365" s="32" t="s">
        <v>186</v>
      </c>
      <c r="B1365" s="32" t="s">
        <v>55</v>
      </c>
      <c r="C1365" s="32" t="s">
        <v>154</v>
      </c>
      <c r="D1365" s="32">
        <v>13.01</v>
      </c>
      <c r="E1365" s="32">
        <v>13.5</v>
      </c>
      <c r="F1365" s="32" t="s">
        <v>173</v>
      </c>
      <c r="G1365" s="32">
        <v>3.4767999999999999</v>
      </c>
      <c r="H1365" s="32">
        <v>1.4767999999999999</v>
      </c>
      <c r="I1365" s="32" t="s">
        <v>174</v>
      </c>
      <c r="J1365" s="32">
        <v>1</v>
      </c>
      <c r="K1365" s="32" t="s">
        <v>183</v>
      </c>
      <c r="L1365" s="18">
        <f t="shared" si="21"/>
        <v>999999999</v>
      </c>
    </row>
    <row r="1366" spans="1:12" ht="15" customHeight="1" x14ac:dyDescent="0.25">
      <c r="A1366" s="32" t="s">
        <v>186</v>
      </c>
      <c r="B1366" s="32" t="s">
        <v>55</v>
      </c>
      <c r="C1366" s="32" t="s">
        <v>154</v>
      </c>
      <c r="D1366" s="32">
        <v>13.51</v>
      </c>
      <c r="E1366" s="32">
        <v>14</v>
      </c>
      <c r="F1366" s="32" t="s">
        <v>173</v>
      </c>
      <c r="G1366" s="32">
        <v>3.4864000000000002</v>
      </c>
      <c r="H1366" s="32">
        <v>1.4863999999999999</v>
      </c>
      <c r="I1366" s="32" t="s">
        <v>174</v>
      </c>
      <c r="J1366" s="32">
        <v>1</v>
      </c>
      <c r="K1366" s="32" t="s">
        <v>183</v>
      </c>
      <c r="L1366" s="18">
        <f t="shared" si="21"/>
        <v>999999999</v>
      </c>
    </row>
    <row r="1367" spans="1:12" ht="15" customHeight="1" x14ac:dyDescent="0.25">
      <c r="A1367" s="32" t="s">
        <v>186</v>
      </c>
      <c r="B1367" s="32" t="s">
        <v>55</v>
      </c>
      <c r="C1367" s="32" t="s">
        <v>154</v>
      </c>
      <c r="D1367" s="32">
        <v>14.01</v>
      </c>
      <c r="E1367" s="32">
        <v>14.5</v>
      </c>
      <c r="F1367" s="32" t="s">
        <v>173</v>
      </c>
      <c r="G1367" s="32">
        <v>3.496</v>
      </c>
      <c r="H1367" s="32">
        <v>1.496</v>
      </c>
      <c r="I1367" s="32" t="s">
        <v>174</v>
      </c>
      <c r="J1367" s="32">
        <v>1</v>
      </c>
      <c r="K1367" s="32" t="s">
        <v>183</v>
      </c>
      <c r="L1367" s="18">
        <f t="shared" si="21"/>
        <v>999999999</v>
      </c>
    </row>
    <row r="1368" spans="1:12" ht="15" customHeight="1" x14ac:dyDescent="0.25">
      <c r="A1368" s="32" t="s">
        <v>186</v>
      </c>
      <c r="B1368" s="32" t="s">
        <v>55</v>
      </c>
      <c r="C1368" s="32" t="s">
        <v>154</v>
      </c>
      <c r="D1368" s="32">
        <v>14.51</v>
      </c>
      <c r="E1368" s="32">
        <v>15</v>
      </c>
      <c r="F1368" s="32" t="s">
        <v>173</v>
      </c>
      <c r="G1368" s="32">
        <v>3.5055999999999998</v>
      </c>
      <c r="H1368" s="32">
        <v>1.5056</v>
      </c>
      <c r="I1368" s="32" t="s">
        <v>174</v>
      </c>
      <c r="J1368" s="32">
        <v>1</v>
      </c>
      <c r="K1368" s="32" t="s">
        <v>183</v>
      </c>
      <c r="L1368" s="18">
        <f t="shared" si="21"/>
        <v>999999999</v>
      </c>
    </row>
    <row r="1369" spans="1:12" ht="15" customHeight="1" x14ac:dyDescent="0.25">
      <c r="A1369" s="32" t="s">
        <v>186</v>
      </c>
      <c r="B1369" s="32" t="s">
        <v>55</v>
      </c>
      <c r="C1369" s="32" t="s">
        <v>154</v>
      </c>
      <c r="D1369" s="32">
        <v>15.01</v>
      </c>
      <c r="E1369" s="32">
        <v>15.5</v>
      </c>
      <c r="F1369" s="32" t="s">
        <v>173</v>
      </c>
      <c r="G1369" s="32">
        <v>3.5255999999999998</v>
      </c>
      <c r="H1369" s="32">
        <v>1.5256000000000001</v>
      </c>
      <c r="I1369" s="32" t="s">
        <v>174</v>
      </c>
      <c r="J1369" s="32">
        <v>1</v>
      </c>
      <c r="K1369" s="32" t="s">
        <v>183</v>
      </c>
      <c r="L1369" s="18">
        <f t="shared" si="21"/>
        <v>999999999</v>
      </c>
    </row>
    <row r="1370" spans="1:12" ht="15" customHeight="1" x14ac:dyDescent="0.25">
      <c r="A1370" s="32" t="s">
        <v>186</v>
      </c>
      <c r="B1370" s="32" t="s">
        <v>55</v>
      </c>
      <c r="C1370" s="32" t="s">
        <v>154</v>
      </c>
      <c r="D1370" s="32">
        <v>15.51</v>
      </c>
      <c r="E1370" s="32">
        <v>16</v>
      </c>
      <c r="F1370" s="32" t="s">
        <v>173</v>
      </c>
      <c r="G1370" s="32">
        <v>3.5455999999999999</v>
      </c>
      <c r="H1370" s="32">
        <v>1.5456000000000001</v>
      </c>
      <c r="I1370" s="32" t="s">
        <v>174</v>
      </c>
      <c r="J1370" s="32">
        <v>1</v>
      </c>
      <c r="K1370" s="32" t="s">
        <v>183</v>
      </c>
      <c r="L1370" s="18">
        <f t="shared" si="21"/>
        <v>999999999</v>
      </c>
    </row>
    <row r="1371" spans="1:12" ht="15" customHeight="1" x14ac:dyDescent="0.25">
      <c r="A1371" s="32" t="s">
        <v>186</v>
      </c>
      <c r="B1371" s="32" t="s">
        <v>55</v>
      </c>
      <c r="C1371" s="32" t="s">
        <v>154</v>
      </c>
      <c r="D1371" s="32">
        <v>16.010000000000002</v>
      </c>
      <c r="E1371" s="32">
        <v>16.5</v>
      </c>
      <c r="F1371" s="32" t="s">
        <v>173</v>
      </c>
      <c r="G1371" s="32">
        <v>3.5655999999999999</v>
      </c>
      <c r="H1371" s="32">
        <v>1.5656000000000001</v>
      </c>
      <c r="I1371" s="32" t="s">
        <v>174</v>
      </c>
      <c r="J1371" s="32">
        <v>1</v>
      </c>
      <c r="K1371" s="32" t="s">
        <v>183</v>
      </c>
      <c r="L1371" s="18">
        <f t="shared" si="21"/>
        <v>999999999</v>
      </c>
    </row>
    <row r="1372" spans="1:12" ht="15" customHeight="1" x14ac:dyDescent="0.25">
      <c r="A1372" s="32" t="s">
        <v>186</v>
      </c>
      <c r="B1372" s="32" t="s">
        <v>55</v>
      </c>
      <c r="C1372" s="32" t="s">
        <v>154</v>
      </c>
      <c r="D1372" s="32">
        <v>16.510000000000002</v>
      </c>
      <c r="E1372" s="32">
        <v>17</v>
      </c>
      <c r="F1372" s="32" t="s">
        <v>173</v>
      </c>
      <c r="G1372" s="32">
        <v>3.5855999999999999</v>
      </c>
      <c r="H1372" s="32">
        <v>1.5855999999999999</v>
      </c>
      <c r="I1372" s="32" t="s">
        <v>174</v>
      </c>
      <c r="J1372" s="32">
        <v>1</v>
      </c>
      <c r="K1372" s="32" t="s">
        <v>183</v>
      </c>
      <c r="L1372" s="18">
        <f t="shared" si="21"/>
        <v>999999999</v>
      </c>
    </row>
    <row r="1373" spans="1:12" ht="15" customHeight="1" x14ac:dyDescent="0.25">
      <c r="A1373" s="32" t="s">
        <v>186</v>
      </c>
      <c r="B1373" s="32" t="s">
        <v>55</v>
      </c>
      <c r="C1373" s="32" t="s">
        <v>154</v>
      </c>
      <c r="D1373" s="32">
        <v>17.010000000000002</v>
      </c>
      <c r="E1373" s="32">
        <v>17.5</v>
      </c>
      <c r="F1373" s="32" t="s">
        <v>173</v>
      </c>
      <c r="G1373" s="32">
        <v>3.6055999999999999</v>
      </c>
      <c r="H1373" s="32">
        <v>1.6055999999999999</v>
      </c>
      <c r="I1373" s="32" t="s">
        <v>174</v>
      </c>
      <c r="J1373" s="32">
        <v>1</v>
      </c>
      <c r="K1373" s="32" t="s">
        <v>183</v>
      </c>
      <c r="L1373" s="18">
        <f t="shared" si="21"/>
        <v>999999999</v>
      </c>
    </row>
    <row r="1374" spans="1:12" ht="15" customHeight="1" x14ac:dyDescent="0.25">
      <c r="A1374" s="32" t="s">
        <v>186</v>
      </c>
      <c r="B1374" s="32" t="s">
        <v>55</v>
      </c>
      <c r="C1374" s="32" t="s">
        <v>154</v>
      </c>
      <c r="D1374" s="32">
        <v>17.510000000000002</v>
      </c>
      <c r="E1374" s="32">
        <v>18</v>
      </c>
      <c r="F1374" s="32" t="s">
        <v>173</v>
      </c>
      <c r="G1374" s="32">
        <v>3.6255999999999999</v>
      </c>
      <c r="H1374" s="32">
        <v>1.6255999999999999</v>
      </c>
      <c r="I1374" s="32" t="s">
        <v>174</v>
      </c>
      <c r="J1374" s="32">
        <v>1</v>
      </c>
      <c r="K1374" s="32" t="s">
        <v>183</v>
      </c>
      <c r="L1374" s="18">
        <f t="shared" si="21"/>
        <v>999999999</v>
      </c>
    </row>
    <row r="1375" spans="1:12" ht="15" customHeight="1" x14ac:dyDescent="0.25">
      <c r="A1375" s="32" t="s">
        <v>186</v>
      </c>
      <c r="B1375" s="32" t="s">
        <v>55</v>
      </c>
      <c r="C1375" s="32" t="s">
        <v>154</v>
      </c>
      <c r="D1375" s="32">
        <v>18.010000000000002</v>
      </c>
      <c r="E1375" s="32">
        <v>18.5</v>
      </c>
      <c r="F1375" s="32" t="s">
        <v>173</v>
      </c>
      <c r="G1375" s="32">
        <v>3.6456</v>
      </c>
      <c r="H1375" s="32">
        <v>1.6456</v>
      </c>
      <c r="I1375" s="32" t="s">
        <v>174</v>
      </c>
      <c r="J1375" s="32">
        <v>1</v>
      </c>
      <c r="K1375" s="32" t="s">
        <v>183</v>
      </c>
      <c r="L1375" s="18">
        <f t="shared" si="21"/>
        <v>999999999</v>
      </c>
    </row>
    <row r="1376" spans="1:12" ht="15" customHeight="1" x14ac:dyDescent="0.25">
      <c r="A1376" s="32" t="s">
        <v>186</v>
      </c>
      <c r="B1376" s="32" t="s">
        <v>55</v>
      </c>
      <c r="C1376" s="32" t="s">
        <v>154</v>
      </c>
      <c r="D1376" s="32">
        <v>18.510000000000002</v>
      </c>
      <c r="E1376" s="32">
        <v>19</v>
      </c>
      <c r="F1376" s="32" t="s">
        <v>173</v>
      </c>
      <c r="G1376" s="32">
        <v>3.6656</v>
      </c>
      <c r="H1376" s="32">
        <v>1.6656</v>
      </c>
      <c r="I1376" s="32" t="s">
        <v>174</v>
      </c>
      <c r="J1376" s="32">
        <v>1</v>
      </c>
      <c r="K1376" s="32" t="s">
        <v>183</v>
      </c>
      <c r="L1376" s="18">
        <f t="shared" si="21"/>
        <v>999999999</v>
      </c>
    </row>
    <row r="1377" spans="1:12" ht="15" customHeight="1" x14ac:dyDescent="0.25">
      <c r="A1377" s="32" t="s">
        <v>186</v>
      </c>
      <c r="B1377" s="32" t="s">
        <v>55</v>
      </c>
      <c r="C1377" s="32" t="s">
        <v>154</v>
      </c>
      <c r="D1377" s="32">
        <v>19.010000000000002</v>
      </c>
      <c r="E1377" s="32">
        <v>19.5</v>
      </c>
      <c r="F1377" s="32" t="s">
        <v>173</v>
      </c>
      <c r="G1377" s="32">
        <v>3.6856</v>
      </c>
      <c r="H1377" s="32">
        <v>1.6856</v>
      </c>
      <c r="I1377" s="32" t="s">
        <v>174</v>
      </c>
      <c r="J1377" s="32">
        <v>1</v>
      </c>
      <c r="K1377" s="32" t="s">
        <v>183</v>
      </c>
      <c r="L1377" s="18">
        <f t="shared" si="21"/>
        <v>999999999</v>
      </c>
    </row>
    <row r="1378" spans="1:12" ht="15" customHeight="1" x14ac:dyDescent="0.25">
      <c r="A1378" s="32" t="s">
        <v>186</v>
      </c>
      <c r="B1378" s="32" t="s">
        <v>55</v>
      </c>
      <c r="C1378" s="32" t="s">
        <v>154</v>
      </c>
      <c r="D1378" s="32">
        <v>19.510000000000002</v>
      </c>
      <c r="E1378" s="32">
        <v>20</v>
      </c>
      <c r="F1378" s="32" t="s">
        <v>173</v>
      </c>
      <c r="G1378" s="32">
        <v>3.7056</v>
      </c>
      <c r="H1378" s="32">
        <v>1.7056</v>
      </c>
      <c r="I1378" s="32" t="s">
        <v>174</v>
      </c>
      <c r="J1378" s="32">
        <v>1</v>
      </c>
      <c r="K1378" s="32" t="s">
        <v>183</v>
      </c>
      <c r="L1378" s="18">
        <f t="shared" si="21"/>
        <v>999999999</v>
      </c>
    </row>
    <row r="1379" spans="1:12" ht="15" customHeight="1" x14ac:dyDescent="0.25">
      <c r="A1379" s="32" t="s">
        <v>186</v>
      </c>
      <c r="B1379" s="32" t="s">
        <v>55</v>
      </c>
      <c r="C1379" s="32" t="s">
        <v>154</v>
      </c>
      <c r="D1379" s="32">
        <v>20.010000000000002</v>
      </c>
      <c r="E1379" s="32">
        <v>20.5</v>
      </c>
      <c r="F1379" s="32" t="s">
        <v>173</v>
      </c>
      <c r="G1379" s="32">
        <v>3.7256</v>
      </c>
      <c r="H1379" s="32">
        <v>1.7256</v>
      </c>
      <c r="I1379" s="32" t="s">
        <v>174</v>
      </c>
      <c r="J1379" s="32">
        <v>1</v>
      </c>
      <c r="K1379" s="32" t="s">
        <v>183</v>
      </c>
      <c r="L1379" s="18">
        <f t="shared" si="21"/>
        <v>999999999</v>
      </c>
    </row>
    <row r="1380" spans="1:12" ht="15" customHeight="1" x14ac:dyDescent="0.25">
      <c r="A1380" s="32" t="s">
        <v>186</v>
      </c>
      <c r="B1380" s="32" t="s">
        <v>55</v>
      </c>
      <c r="C1380" s="32" t="s">
        <v>154</v>
      </c>
      <c r="D1380" s="32">
        <v>20.51</v>
      </c>
      <c r="E1380" s="32">
        <v>21</v>
      </c>
      <c r="F1380" s="32" t="s">
        <v>173</v>
      </c>
      <c r="G1380" s="32">
        <v>3.7456</v>
      </c>
      <c r="H1380" s="32">
        <v>1.7456</v>
      </c>
      <c r="I1380" s="32" t="s">
        <v>174</v>
      </c>
      <c r="J1380" s="32">
        <v>1</v>
      </c>
      <c r="K1380" s="32" t="s">
        <v>183</v>
      </c>
      <c r="L1380" s="18">
        <f t="shared" si="21"/>
        <v>999999999</v>
      </c>
    </row>
    <row r="1381" spans="1:12" ht="15" customHeight="1" x14ac:dyDescent="0.25">
      <c r="A1381" s="32" t="s">
        <v>186</v>
      </c>
      <c r="B1381" s="32" t="s">
        <v>55</v>
      </c>
      <c r="C1381" s="32" t="s">
        <v>154</v>
      </c>
      <c r="D1381" s="32">
        <v>21.01</v>
      </c>
      <c r="E1381" s="32">
        <v>21.5</v>
      </c>
      <c r="F1381" s="32" t="s">
        <v>173</v>
      </c>
      <c r="G1381" s="32">
        <v>3.7656000000000001</v>
      </c>
      <c r="H1381" s="32">
        <v>1.7656000000000001</v>
      </c>
      <c r="I1381" s="32" t="s">
        <v>174</v>
      </c>
      <c r="J1381" s="32">
        <v>1</v>
      </c>
      <c r="K1381" s="32" t="s">
        <v>183</v>
      </c>
      <c r="L1381" s="18">
        <f t="shared" si="21"/>
        <v>999999999</v>
      </c>
    </row>
    <row r="1382" spans="1:12" ht="15" customHeight="1" x14ac:dyDescent="0.25">
      <c r="A1382" s="32" t="s">
        <v>186</v>
      </c>
      <c r="B1382" s="32" t="s">
        <v>55</v>
      </c>
      <c r="C1382" s="32" t="s">
        <v>154</v>
      </c>
      <c r="D1382" s="32">
        <v>21.51</v>
      </c>
      <c r="E1382" s="32">
        <v>22</v>
      </c>
      <c r="F1382" s="32" t="s">
        <v>173</v>
      </c>
      <c r="G1382" s="32">
        <v>3.7856000000000001</v>
      </c>
      <c r="H1382" s="32">
        <v>1.7856000000000001</v>
      </c>
      <c r="I1382" s="32" t="s">
        <v>174</v>
      </c>
      <c r="J1382" s="32">
        <v>1</v>
      </c>
      <c r="K1382" s="32" t="s">
        <v>183</v>
      </c>
      <c r="L1382" s="18">
        <f t="shared" si="21"/>
        <v>999999999</v>
      </c>
    </row>
    <row r="1383" spans="1:12" ht="15" customHeight="1" x14ac:dyDescent="0.25">
      <c r="A1383" s="32" t="s">
        <v>186</v>
      </c>
      <c r="B1383" s="32" t="s">
        <v>55</v>
      </c>
      <c r="C1383" s="32" t="s">
        <v>154</v>
      </c>
      <c r="D1383" s="32">
        <v>22.01</v>
      </c>
      <c r="E1383" s="32">
        <v>22.5</v>
      </c>
      <c r="F1383" s="32" t="s">
        <v>173</v>
      </c>
      <c r="G1383" s="32">
        <v>3.8056000000000001</v>
      </c>
      <c r="H1383" s="32">
        <v>1.8056000000000001</v>
      </c>
      <c r="I1383" s="32" t="s">
        <v>174</v>
      </c>
      <c r="J1383" s="32">
        <v>1</v>
      </c>
      <c r="K1383" s="32" t="s">
        <v>183</v>
      </c>
      <c r="L1383" s="18">
        <f t="shared" si="21"/>
        <v>999999999</v>
      </c>
    </row>
    <row r="1384" spans="1:12" ht="15" customHeight="1" x14ac:dyDescent="0.25">
      <c r="A1384" s="32" t="s">
        <v>186</v>
      </c>
      <c r="B1384" s="32" t="s">
        <v>55</v>
      </c>
      <c r="C1384" s="32" t="s">
        <v>154</v>
      </c>
      <c r="D1384" s="32">
        <v>22.51</v>
      </c>
      <c r="E1384" s="32">
        <v>23</v>
      </c>
      <c r="F1384" s="32" t="s">
        <v>173</v>
      </c>
      <c r="G1384" s="32">
        <v>3.8256000000000001</v>
      </c>
      <c r="H1384" s="32">
        <v>1.8255999999999999</v>
      </c>
      <c r="I1384" s="32" t="s">
        <v>174</v>
      </c>
      <c r="J1384" s="32">
        <v>1</v>
      </c>
      <c r="K1384" s="32" t="s">
        <v>183</v>
      </c>
      <c r="L1384" s="18">
        <f t="shared" si="21"/>
        <v>999999999</v>
      </c>
    </row>
    <row r="1385" spans="1:12" ht="15" customHeight="1" x14ac:dyDescent="0.25">
      <c r="A1385" s="32" t="s">
        <v>186</v>
      </c>
      <c r="B1385" s="32" t="s">
        <v>55</v>
      </c>
      <c r="C1385" s="32" t="s">
        <v>154</v>
      </c>
      <c r="D1385" s="32">
        <v>23.01</v>
      </c>
      <c r="E1385" s="32">
        <v>23.5</v>
      </c>
      <c r="F1385" s="32" t="s">
        <v>173</v>
      </c>
      <c r="G1385" s="32">
        <v>3.8456000000000001</v>
      </c>
      <c r="H1385" s="32">
        <v>1.8455999999999999</v>
      </c>
      <c r="I1385" s="32" t="s">
        <v>174</v>
      </c>
      <c r="J1385" s="32">
        <v>1</v>
      </c>
      <c r="K1385" s="32" t="s">
        <v>183</v>
      </c>
      <c r="L1385" s="18">
        <f t="shared" si="21"/>
        <v>999999999</v>
      </c>
    </row>
    <row r="1386" spans="1:12" ht="15" customHeight="1" x14ac:dyDescent="0.25">
      <c r="A1386" s="32" t="s">
        <v>186</v>
      </c>
      <c r="B1386" s="32" t="s">
        <v>55</v>
      </c>
      <c r="C1386" s="32" t="s">
        <v>154</v>
      </c>
      <c r="D1386" s="32">
        <v>23.51</v>
      </c>
      <c r="E1386" s="32">
        <v>24</v>
      </c>
      <c r="F1386" s="32" t="s">
        <v>173</v>
      </c>
      <c r="G1386" s="32">
        <v>3.8656000000000001</v>
      </c>
      <c r="H1386" s="32">
        <v>1.8655999999999999</v>
      </c>
      <c r="I1386" s="32" t="s">
        <v>174</v>
      </c>
      <c r="J1386" s="32">
        <v>1</v>
      </c>
      <c r="K1386" s="32" t="s">
        <v>183</v>
      </c>
      <c r="L1386" s="18">
        <f t="shared" si="21"/>
        <v>999999999</v>
      </c>
    </row>
    <row r="1387" spans="1:12" ht="15" customHeight="1" x14ac:dyDescent="0.25">
      <c r="A1387" s="32" t="s">
        <v>186</v>
      </c>
      <c r="B1387" s="32" t="s">
        <v>55</v>
      </c>
      <c r="C1387" s="32" t="s">
        <v>154</v>
      </c>
      <c r="D1387" s="32">
        <v>24.01</v>
      </c>
      <c r="E1387" s="32">
        <v>24.5</v>
      </c>
      <c r="F1387" s="32" t="s">
        <v>173</v>
      </c>
      <c r="G1387" s="32">
        <v>3.8856000000000002</v>
      </c>
      <c r="H1387" s="32">
        <v>1.8855999999999999</v>
      </c>
      <c r="I1387" s="32" t="s">
        <v>174</v>
      </c>
      <c r="J1387" s="32">
        <v>1</v>
      </c>
      <c r="K1387" s="32" t="s">
        <v>183</v>
      </c>
      <c r="L1387" s="18">
        <f t="shared" si="21"/>
        <v>999999999</v>
      </c>
    </row>
    <row r="1388" spans="1:12" ht="15" customHeight="1" x14ac:dyDescent="0.25">
      <c r="A1388" s="32" t="s">
        <v>186</v>
      </c>
      <c r="B1388" s="32" t="s">
        <v>55</v>
      </c>
      <c r="C1388" s="32" t="s">
        <v>154</v>
      </c>
      <c r="D1388" s="32">
        <v>24.51</v>
      </c>
      <c r="E1388" s="32">
        <v>25</v>
      </c>
      <c r="F1388" s="32" t="s">
        <v>173</v>
      </c>
      <c r="G1388" s="32">
        <v>3.9056000000000002</v>
      </c>
      <c r="H1388" s="32">
        <v>1.9056</v>
      </c>
      <c r="I1388" s="32" t="s">
        <v>174</v>
      </c>
      <c r="J1388" s="32">
        <v>1</v>
      </c>
      <c r="K1388" s="32" t="s">
        <v>183</v>
      </c>
      <c r="L1388" s="18">
        <f t="shared" si="21"/>
        <v>999999999</v>
      </c>
    </row>
    <row r="1389" spans="1:12" ht="15" customHeight="1" x14ac:dyDescent="0.25">
      <c r="A1389" s="32" t="s">
        <v>186</v>
      </c>
      <c r="B1389" s="32" t="s">
        <v>55</v>
      </c>
      <c r="C1389" s="32" t="s">
        <v>154</v>
      </c>
      <c r="D1389" s="32">
        <v>25.01</v>
      </c>
      <c r="E1389" s="32">
        <v>25.5</v>
      </c>
      <c r="F1389" s="32" t="s">
        <v>173</v>
      </c>
      <c r="G1389" s="32">
        <v>3.976</v>
      </c>
      <c r="H1389" s="32">
        <v>1.976</v>
      </c>
      <c r="I1389" s="32" t="s">
        <v>174</v>
      </c>
      <c r="J1389" s="32">
        <v>1</v>
      </c>
      <c r="K1389" s="32" t="s">
        <v>183</v>
      </c>
      <c r="L1389" s="18">
        <f t="shared" si="21"/>
        <v>999999999</v>
      </c>
    </row>
    <row r="1390" spans="1:12" ht="15" customHeight="1" x14ac:dyDescent="0.25">
      <c r="A1390" s="32" t="s">
        <v>186</v>
      </c>
      <c r="B1390" s="32" t="s">
        <v>55</v>
      </c>
      <c r="C1390" s="32" t="s">
        <v>154</v>
      </c>
      <c r="D1390" s="32">
        <v>25.51</v>
      </c>
      <c r="E1390" s="32">
        <v>26</v>
      </c>
      <c r="F1390" s="32" t="s">
        <v>173</v>
      </c>
      <c r="G1390" s="32">
        <v>5.0464000000000002</v>
      </c>
      <c r="H1390" s="32">
        <v>2.0464000000000002</v>
      </c>
      <c r="I1390" s="32" t="s">
        <v>174</v>
      </c>
      <c r="J1390" s="32">
        <v>1</v>
      </c>
      <c r="K1390" s="32" t="s">
        <v>183</v>
      </c>
      <c r="L1390" s="18">
        <f t="shared" si="21"/>
        <v>999999999</v>
      </c>
    </row>
    <row r="1391" spans="1:12" ht="15" customHeight="1" x14ac:dyDescent="0.25">
      <c r="A1391" s="32" t="s">
        <v>186</v>
      </c>
      <c r="B1391" s="32" t="s">
        <v>55</v>
      </c>
      <c r="C1391" s="32" t="s">
        <v>154</v>
      </c>
      <c r="D1391" s="32">
        <v>26.01</v>
      </c>
      <c r="E1391" s="32">
        <v>26.5</v>
      </c>
      <c r="F1391" s="32" t="s">
        <v>173</v>
      </c>
      <c r="G1391" s="32">
        <v>5.1167999999999996</v>
      </c>
      <c r="H1391" s="32">
        <v>2.1168</v>
      </c>
      <c r="I1391" s="32" t="s">
        <v>174</v>
      </c>
      <c r="J1391" s="32">
        <v>1</v>
      </c>
      <c r="K1391" s="32" t="s">
        <v>183</v>
      </c>
      <c r="L1391" s="18">
        <f t="shared" si="21"/>
        <v>999999999</v>
      </c>
    </row>
    <row r="1392" spans="1:12" ht="15" customHeight="1" x14ac:dyDescent="0.25">
      <c r="A1392" s="32" t="s">
        <v>186</v>
      </c>
      <c r="B1392" s="32" t="s">
        <v>55</v>
      </c>
      <c r="C1392" s="32" t="s">
        <v>154</v>
      </c>
      <c r="D1392" s="32">
        <v>26.51</v>
      </c>
      <c r="E1392" s="32">
        <v>27</v>
      </c>
      <c r="F1392" s="32" t="s">
        <v>173</v>
      </c>
      <c r="G1392" s="32">
        <v>5.1871999999999998</v>
      </c>
      <c r="H1392" s="32">
        <v>2.1871999999999998</v>
      </c>
      <c r="I1392" s="32" t="s">
        <v>174</v>
      </c>
      <c r="J1392" s="32">
        <v>1</v>
      </c>
      <c r="K1392" s="32" t="s">
        <v>183</v>
      </c>
      <c r="L1392" s="18">
        <f t="shared" si="21"/>
        <v>999999999</v>
      </c>
    </row>
    <row r="1393" spans="1:12" ht="15" customHeight="1" x14ac:dyDescent="0.25">
      <c r="A1393" s="32" t="s">
        <v>186</v>
      </c>
      <c r="B1393" s="32" t="s">
        <v>55</v>
      </c>
      <c r="C1393" s="32" t="s">
        <v>154</v>
      </c>
      <c r="D1393" s="32">
        <v>27.01</v>
      </c>
      <c r="E1393" s="32">
        <v>27.5</v>
      </c>
      <c r="F1393" s="32" t="s">
        <v>173</v>
      </c>
      <c r="G1393" s="32">
        <v>5.2576000000000001</v>
      </c>
      <c r="H1393" s="32">
        <v>3.2576000000000001</v>
      </c>
      <c r="I1393" s="32" t="s">
        <v>174</v>
      </c>
      <c r="J1393" s="32">
        <v>1</v>
      </c>
      <c r="K1393" s="32" t="s">
        <v>183</v>
      </c>
      <c r="L1393" s="18">
        <f t="shared" si="21"/>
        <v>999999999</v>
      </c>
    </row>
    <row r="1394" spans="1:12" ht="15" customHeight="1" x14ac:dyDescent="0.25">
      <c r="A1394" s="32" t="s">
        <v>186</v>
      </c>
      <c r="B1394" s="32" t="s">
        <v>55</v>
      </c>
      <c r="C1394" s="32" t="s">
        <v>154</v>
      </c>
      <c r="D1394" s="32">
        <v>27.51</v>
      </c>
      <c r="E1394" s="32">
        <v>28</v>
      </c>
      <c r="F1394" s="32" t="s">
        <v>173</v>
      </c>
      <c r="G1394" s="32">
        <v>5.3280000000000003</v>
      </c>
      <c r="H1394" s="32">
        <v>2.3279999999999998</v>
      </c>
      <c r="I1394" s="32" t="s">
        <v>174</v>
      </c>
      <c r="J1394" s="32">
        <v>1</v>
      </c>
      <c r="K1394" s="32" t="s">
        <v>183</v>
      </c>
      <c r="L1394" s="18">
        <f t="shared" si="21"/>
        <v>999999999</v>
      </c>
    </row>
    <row r="1395" spans="1:12" ht="15" customHeight="1" x14ac:dyDescent="0.25">
      <c r="A1395" s="32" t="s">
        <v>186</v>
      </c>
      <c r="B1395" s="32" t="s">
        <v>55</v>
      </c>
      <c r="C1395" s="32" t="s">
        <v>154</v>
      </c>
      <c r="D1395" s="32">
        <v>28.01</v>
      </c>
      <c r="E1395" s="32">
        <v>28.5</v>
      </c>
      <c r="F1395" s="32" t="s">
        <v>173</v>
      </c>
      <c r="G1395" s="32">
        <v>5.3983999999999996</v>
      </c>
      <c r="H1395" s="32">
        <v>1.3984000000000001</v>
      </c>
      <c r="I1395" s="32" t="s">
        <v>174</v>
      </c>
      <c r="J1395" s="32">
        <v>1</v>
      </c>
      <c r="K1395" s="32" t="s">
        <v>183</v>
      </c>
      <c r="L1395" s="18">
        <f t="shared" si="21"/>
        <v>999999999</v>
      </c>
    </row>
    <row r="1396" spans="1:12" ht="15" customHeight="1" x14ac:dyDescent="0.25">
      <c r="A1396" s="32" t="s">
        <v>186</v>
      </c>
      <c r="B1396" s="32" t="s">
        <v>55</v>
      </c>
      <c r="C1396" s="32" t="s">
        <v>154</v>
      </c>
      <c r="D1396" s="32">
        <v>28.51</v>
      </c>
      <c r="E1396" s="32">
        <v>29</v>
      </c>
      <c r="F1396" s="32" t="s">
        <v>173</v>
      </c>
      <c r="G1396" s="32">
        <v>5.4687999999999999</v>
      </c>
      <c r="H1396" s="32">
        <v>3.4687999999999999</v>
      </c>
      <c r="I1396" s="32" t="s">
        <v>174</v>
      </c>
      <c r="J1396" s="32">
        <v>1</v>
      </c>
      <c r="K1396" s="32" t="s">
        <v>183</v>
      </c>
      <c r="L1396" s="18">
        <f t="shared" si="21"/>
        <v>999999999</v>
      </c>
    </row>
    <row r="1397" spans="1:12" ht="15" customHeight="1" x14ac:dyDescent="0.25">
      <c r="A1397" s="32" t="s">
        <v>186</v>
      </c>
      <c r="B1397" s="32" t="s">
        <v>55</v>
      </c>
      <c r="C1397" s="32" t="s">
        <v>154</v>
      </c>
      <c r="D1397" s="32">
        <v>29.01</v>
      </c>
      <c r="E1397" s="32">
        <v>29.5</v>
      </c>
      <c r="F1397" s="32" t="s">
        <v>173</v>
      </c>
      <c r="G1397" s="32">
        <v>5.5392000000000001</v>
      </c>
      <c r="H1397" s="32">
        <v>1.5391999999999999</v>
      </c>
      <c r="I1397" s="32" t="s">
        <v>174</v>
      </c>
      <c r="J1397" s="32">
        <v>1</v>
      </c>
      <c r="K1397" s="32" t="s">
        <v>183</v>
      </c>
      <c r="L1397" s="18">
        <f t="shared" si="21"/>
        <v>999999999</v>
      </c>
    </row>
    <row r="1398" spans="1:12" ht="15" customHeight="1" x14ac:dyDescent="0.25">
      <c r="A1398" s="32" t="s">
        <v>186</v>
      </c>
      <c r="B1398" s="32" t="s">
        <v>55</v>
      </c>
      <c r="C1398" s="32" t="s">
        <v>154</v>
      </c>
      <c r="D1398" s="32">
        <v>29.51</v>
      </c>
      <c r="E1398" s="32">
        <v>30</v>
      </c>
      <c r="F1398" s="32" t="s">
        <v>173</v>
      </c>
      <c r="G1398" s="32">
        <v>5.6096000000000004</v>
      </c>
      <c r="H1398" s="32">
        <v>3.6095999999999999</v>
      </c>
      <c r="I1398" s="32" t="s">
        <v>174</v>
      </c>
      <c r="J1398" s="32">
        <v>1</v>
      </c>
      <c r="K1398" s="32" t="s">
        <v>183</v>
      </c>
      <c r="L1398" s="18">
        <f t="shared" si="21"/>
        <v>999999999</v>
      </c>
    </row>
    <row r="1399" spans="1:12" ht="15" customHeight="1" x14ac:dyDescent="0.25">
      <c r="A1399" s="32" t="s">
        <v>186</v>
      </c>
      <c r="B1399" s="32" t="s">
        <v>55</v>
      </c>
      <c r="C1399" s="32" t="s">
        <v>154</v>
      </c>
      <c r="D1399" s="32">
        <v>30.01</v>
      </c>
      <c r="E1399" s="32">
        <v>30.5</v>
      </c>
      <c r="F1399" s="32" t="s">
        <v>173</v>
      </c>
      <c r="G1399" s="32">
        <v>5.68</v>
      </c>
      <c r="H1399" s="32">
        <v>2.68</v>
      </c>
      <c r="I1399" s="32" t="s">
        <v>174</v>
      </c>
      <c r="J1399" s="32">
        <v>1</v>
      </c>
      <c r="K1399" s="32" t="s">
        <v>183</v>
      </c>
      <c r="L1399" s="18">
        <f t="shared" si="21"/>
        <v>999999999</v>
      </c>
    </row>
    <row r="1400" spans="1:12" ht="15" customHeight="1" x14ac:dyDescent="0.25">
      <c r="A1400" s="32" t="s">
        <v>186</v>
      </c>
      <c r="B1400" s="32" t="s">
        <v>55</v>
      </c>
      <c r="C1400" s="32" t="s">
        <v>154</v>
      </c>
      <c r="D1400" s="32">
        <v>30.51</v>
      </c>
      <c r="E1400" s="32">
        <v>31</v>
      </c>
      <c r="F1400" s="32" t="s">
        <v>173</v>
      </c>
      <c r="G1400" s="32">
        <v>5.7504</v>
      </c>
      <c r="H1400" s="32">
        <v>1.7504</v>
      </c>
      <c r="I1400" s="32" t="s">
        <v>174</v>
      </c>
      <c r="J1400" s="32">
        <v>1</v>
      </c>
      <c r="K1400" s="32" t="s">
        <v>183</v>
      </c>
      <c r="L1400" s="18">
        <f t="shared" si="21"/>
        <v>999999999</v>
      </c>
    </row>
    <row r="1401" spans="1:12" ht="15" customHeight="1" x14ac:dyDescent="0.25">
      <c r="A1401" s="32" t="s">
        <v>186</v>
      </c>
      <c r="B1401" s="32" t="s">
        <v>55</v>
      </c>
      <c r="C1401" s="32" t="s">
        <v>154</v>
      </c>
      <c r="D1401" s="32">
        <v>31.01</v>
      </c>
      <c r="E1401" s="32">
        <v>31.5</v>
      </c>
      <c r="F1401" s="32" t="s">
        <v>173</v>
      </c>
      <c r="G1401" s="32">
        <v>5.8208000000000002</v>
      </c>
      <c r="H1401" s="32">
        <v>3.8208000000000002</v>
      </c>
      <c r="I1401" s="32" t="s">
        <v>174</v>
      </c>
      <c r="J1401" s="32">
        <v>1</v>
      </c>
      <c r="K1401" s="32" t="s">
        <v>183</v>
      </c>
      <c r="L1401" s="18">
        <f t="shared" si="21"/>
        <v>999999999</v>
      </c>
    </row>
    <row r="1402" spans="1:12" ht="15" customHeight="1" x14ac:dyDescent="0.25">
      <c r="A1402" s="32" t="s">
        <v>186</v>
      </c>
      <c r="B1402" s="32" t="s">
        <v>55</v>
      </c>
      <c r="C1402" s="32" t="s">
        <v>154</v>
      </c>
      <c r="D1402" s="32">
        <v>31.51</v>
      </c>
      <c r="E1402" s="32">
        <v>32</v>
      </c>
      <c r="F1402" s="32" t="s">
        <v>173</v>
      </c>
      <c r="G1402" s="32">
        <v>5.8912000000000004</v>
      </c>
      <c r="H1402" s="32">
        <v>2.8912</v>
      </c>
      <c r="I1402" s="32" t="s">
        <v>174</v>
      </c>
      <c r="J1402" s="32">
        <v>1</v>
      </c>
      <c r="K1402" s="32" t="s">
        <v>183</v>
      </c>
      <c r="L1402" s="18">
        <f t="shared" si="21"/>
        <v>999999999</v>
      </c>
    </row>
    <row r="1403" spans="1:12" ht="15" customHeight="1" x14ac:dyDescent="0.25">
      <c r="A1403" s="32" t="s">
        <v>186</v>
      </c>
      <c r="B1403" s="32" t="s">
        <v>55</v>
      </c>
      <c r="C1403" s="32" t="s">
        <v>154</v>
      </c>
      <c r="D1403" s="32">
        <v>32.01</v>
      </c>
      <c r="E1403" s="32">
        <v>32.5</v>
      </c>
      <c r="F1403" s="32" t="s">
        <v>173</v>
      </c>
      <c r="G1403" s="32">
        <v>5.9615999999999998</v>
      </c>
      <c r="H1403" s="32">
        <v>3.9615999999999998</v>
      </c>
      <c r="I1403" s="32" t="s">
        <v>174</v>
      </c>
      <c r="J1403" s="32">
        <v>1</v>
      </c>
      <c r="K1403" s="32" t="s">
        <v>183</v>
      </c>
      <c r="L1403" s="18">
        <f t="shared" si="21"/>
        <v>999999999</v>
      </c>
    </row>
    <row r="1404" spans="1:12" ht="15" customHeight="1" x14ac:dyDescent="0.25">
      <c r="A1404" s="32" t="s">
        <v>186</v>
      </c>
      <c r="B1404" s="32" t="s">
        <v>55</v>
      </c>
      <c r="C1404" s="32" t="s">
        <v>154</v>
      </c>
      <c r="D1404" s="32">
        <v>32.51</v>
      </c>
      <c r="E1404" s="32">
        <v>33</v>
      </c>
      <c r="F1404" s="32" t="s">
        <v>173</v>
      </c>
      <c r="G1404" s="32">
        <v>7.032</v>
      </c>
      <c r="H1404" s="32">
        <v>2.032</v>
      </c>
      <c r="I1404" s="32" t="s">
        <v>174</v>
      </c>
      <c r="J1404" s="32">
        <v>1</v>
      </c>
      <c r="K1404" s="32" t="s">
        <v>183</v>
      </c>
      <c r="L1404" s="18">
        <f t="shared" si="21"/>
        <v>999999999</v>
      </c>
    </row>
    <row r="1405" spans="1:12" ht="15" customHeight="1" x14ac:dyDescent="0.25">
      <c r="A1405" s="32" t="s">
        <v>186</v>
      </c>
      <c r="B1405" s="32" t="s">
        <v>55</v>
      </c>
      <c r="C1405" s="32" t="s">
        <v>154</v>
      </c>
      <c r="D1405" s="32">
        <v>33.01</v>
      </c>
      <c r="E1405" s="32">
        <v>33.5</v>
      </c>
      <c r="F1405" s="32" t="s">
        <v>173</v>
      </c>
      <c r="G1405" s="32">
        <v>7.1024000000000003</v>
      </c>
      <c r="H1405" s="32">
        <v>2.1023999999999998</v>
      </c>
      <c r="I1405" s="32" t="s">
        <v>174</v>
      </c>
      <c r="J1405" s="32">
        <v>1</v>
      </c>
      <c r="K1405" s="32" t="s">
        <v>183</v>
      </c>
      <c r="L1405" s="18">
        <f t="shared" si="21"/>
        <v>999999999</v>
      </c>
    </row>
    <row r="1406" spans="1:12" ht="15" customHeight="1" x14ac:dyDescent="0.25">
      <c r="A1406" s="32" t="s">
        <v>186</v>
      </c>
      <c r="B1406" s="32" t="s">
        <v>55</v>
      </c>
      <c r="C1406" s="32" t="s">
        <v>154</v>
      </c>
      <c r="D1406" s="32">
        <v>33.51</v>
      </c>
      <c r="E1406" s="32">
        <v>34</v>
      </c>
      <c r="F1406" s="32" t="s">
        <v>173</v>
      </c>
      <c r="G1406" s="32">
        <v>7.1727999999999996</v>
      </c>
      <c r="H1406" s="32">
        <v>3.1728000000000001</v>
      </c>
      <c r="I1406" s="32" t="s">
        <v>174</v>
      </c>
      <c r="J1406" s="32">
        <v>1</v>
      </c>
      <c r="K1406" s="32" t="s">
        <v>183</v>
      </c>
      <c r="L1406" s="18">
        <f t="shared" si="21"/>
        <v>999999999</v>
      </c>
    </row>
    <row r="1407" spans="1:12" ht="15" customHeight="1" x14ac:dyDescent="0.25">
      <c r="A1407" s="32" t="s">
        <v>186</v>
      </c>
      <c r="B1407" s="32" t="s">
        <v>55</v>
      </c>
      <c r="C1407" s="32" t="s">
        <v>154</v>
      </c>
      <c r="D1407" s="32">
        <v>34.01</v>
      </c>
      <c r="E1407" s="32">
        <v>34.5</v>
      </c>
      <c r="F1407" s="32" t="s">
        <v>173</v>
      </c>
      <c r="G1407" s="32">
        <v>7.2431999999999999</v>
      </c>
      <c r="H1407" s="32">
        <v>2.2431999999999999</v>
      </c>
      <c r="I1407" s="32" t="s">
        <v>174</v>
      </c>
      <c r="J1407" s="32">
        <v>1</v>
      </c>
      <c r="K1407" s="32" t="s">
        <v>183</v>
      </c>
      <c r="L1407" s="18">
        <f t="shared" si="21"/>
        <v>999999999</v>
      </c>
    </row>
    <row r="1408" spans="1:12" ht="15" customHeight="1" x14ac:dyDescent="0.25">
      <c r="A1408" s="32" t="s">
        <v>186</v>
      </c>
      <c r="B1408" s="32" t="s">
        <v>55</v>
      </c>
      <c r="C1408" s="32" t="s">
        <v>154</v>
      </c>
      <c r="D1408" s="32">
        <v>34.51</v>
      </c>
      <c r="E1408" s="32">
        <v>35</v>
      </c>
      <c r="F1408" s="32" t="s">
        <v>173</v>
      </c>
      <c r="G1408" s="32">
        <v>7.3136000000000001</v>
      </c>
      <c r="H1408" s="32">
        <v>2.3136000000000001</v>
      </c>
      <c r="I1408" s="32" t="s">
        <v>174</v>
      </c>
      <c r="J1408" s="32">
        <v>1</v>
      </c>
      <c r="K1408" s="32" t="s">
        <v>183</v>
      </c>
      <c r="L1408" s="18">
        <f t="shared" si="21"/>
        <v>999999999</v>
      </c>
    </row>
    <row r="1409" spans="1:12" ht="15" customHeight="1" x14ac:dyDescent="0.25">
      <c r="A1409" s="32" t="s">
        <v>186</v>
      </c>
      <c r="B1409" s="32" t="s">
        <v>55</v>
      </c>
      <c r="C1409" s="32" t="s">
        <v>154</v>
      </c>
      <c r="D1409" s="32">
        <v>35.01</v>
      </c>
      <c r="E1409" s="32">
        <v>35.5</v>
      </c>
      <c r="F1409" s="32" t="s">
        <v>173</v>
      </c>
      <c r="G1409" s="32">
        <v>7.3840000000000003</v>
      </c>
      <c r="H1409" s="32">
        <v>3.3839999999999999</v>
      </c>
      <c r="I1409" s="32" t="s">
        <v>174</v>
      </c>
      <c r="J1409" s="32">
        <v>1</v>
      </c>
      <c r="K1409" s="32" t="s">
        <v>183</v>
      </c>
      <c r="L1409" s="18">
        <f t="shared" si="21"/>
        <v>999999999</v>
      </c>
    </row>
    <row r="1410" spans="1:12" ht="15" customHeight="1" x14ac:dyDescent="0.25">
      <c r="A1410" s="32" t="s">
        <v>186</v>
      </c>
      <c r="B1410" s="32" t="s">
        <v>55</v>
      </c>
      <c r="C1410" s="32" t="s">
        <v>154</v>
      </c>
      <c r="D1410" s="32">
        <v>35.51</v>
      </c>
      <c r="E1410" s="32">
        <v>36</v>
      </c>
      <c r="F1410" s="32" t="s">
        <v>173</v>
      </c>
      <c r="G1410" s="32">
        <v>7.4543999999999997</v>
      </c>
      <c r="H1410" s="32">
        <v>4.4543999999999997</v>
      </c>
      <c r="I1410" s="32" t="s">
        <v>174</v>
      </c>
      <c r="J1410" s="32">
        <v>1</v>
      </c>
      <c r="K1410" s="32" t="s">
        <v>183</v>
      </c>
      <c r="L1410" s="18">
        <f t="shared" ref="L1410:L1473" si="22">IF(AND(B1410=Quote_Port,D1410&lt;=Quote_Weight,Quote_Weight&lt;=E1410,OR(Quote_2Day="No",J1410&lt;=2)),MAX(G1410,Quote_Weight*H1410)*Quote_USDINR,999999999)</f>
        <v>999999999</v>
      </c>
    </row>
    <row r="1411" spans="1:12" ht="15" customHeight="1" x14ac:dyDescent="0.25">
      <c r="A1411" s="32" t="s">
        <v>186</v>
      </c>
      <c r="B1411" s="32" t="s">
        <v>55</v>
      </c>
      <c r="C1411" s="32" t="s">
        <v>154</v>
      </c>
      <c r="D1411" s="32">
        <v>36.01</v>
      </c>
      <c r="E1411" s="32">
        <v>36.5</v>
      </c>
      <c r="F1411" s="32" t="s">
        <v>173</v>
      </c>
      <c r="G1411" s="32">
        <v>7.5247999999999999</v>
      </c>
      <c r="H1411" s="32">
        <v>2.5247999999999999</v>
      </c>
      <c r="I1411" s="32" t="s">
        <v>174</v>
      </c>
      <c r="J1411" s="32">
        <v>1</v>
      </c>
      <c r="K1411" s="32" t="s">
        <v>183</v>
      </c>
      <c r="L1411" s="18">
        <f t="shared" si="22"/>
        <v>999999999</v>
      </c>
    </row>
    <row r="1412" spans="1:12" ht="15" customHeight="1" x14ac:dyDescent="0.25">
      <c r="A1412" s="32" t="s">
        <v>186</v>
      </c>
      <c r="B1412" s="32" t="s">
        <v>55</v>
      </c>
      <c r="C1412" s="32" t="s">
        <v>154</v>
      </c>
      <c r="D1412" s="32">
        <v>36.51</v>
      </c>
      <c r="E1412" s="32">
        <v>37</v>
      </c>
      <c r="F1412" s="32" t="s">
        <v>173</v>
      </c>
      <c r="G1412" s="32">
        <v>7.5952000000000002</v>
      </c>
      <c r="H1412" s="32">
        <v>4.5952000000000002</v>
      </c>
      <c r="I1412" s="32" t="s">
        <v>174</v>
      </c>
      <c r="J1412" s="32">
        <v>1</v>
      </c>
      <c r="K1412" s="32" t="s">
        <v>183</v>
      </c>
      <c r="L1412" s="18">
        <f t="shared" si="22"/>
        <v>999999999</v>
      </c>
    </row>
    <row r="1413" spans="1:12" ht="15" customHeight="1" x14ac:dyDescent="0.25">
      <c r="A1413" s="32" t="s">
        <v>186</v>
      </c>
      <c r="B1413" s="32" t="s">
        <v>55</v>
      </c>
      <c r="C1413" s="32" t="s">
        <v>154</v>
      </c>
      <c r="D1413" s="32">
        <v>37.01</v>
      </c>
      <c r="E1413" s="32">
        <v>37.5</v>
      </c>
      <c r="F1413" s="32" t="s">
        <v>173</v>
      </c>
      <c r="G1413" s="32">
        <v>7.6656000000000004</v>
      </c>
      <c r="H1413" s="32">
        <v>3.6656</v>
      </c>
      <c r="I1413" s="32" t="s">
        <v>174</v>
      </c>
      <c r="J1413" s="32">
        <v>1</v>
      </c>
      <c r="K1413" s="32" t="s">
        <v>183</v>
      </c>
      <c r="L1413" s="18">
        <f t="shared" si="22"/>
        <v>999999999</v>
      </c>
    </row>
    <row r="1414" spans="1:12" ht="15" customHeight="1" x14ac:dyDescent="0.25">
      <c r="A1414" s="32" t="s">
        <v>186</v>
      </c>
      <c r="B1414" s="32" t="s">
        <v>55</v>
      </c>
      <c r="C1414" s="32" t="s">
        <v>154</v>
      </c>
      <c r="D1414" s="32">
        <v>37.51</v>
      </c>
      <c r="E1414" s="32">
        <v>38</v>
      </c>
      <c r="F1414" s="32" t="s">
        <v>173</v>
      </c>
      <c r="G1414" s="32">
        <v>7.7359999999999998</v>
      </c>
      <c r="H1414" s="32">
        <v>2.7360000000000002</v>
      </c>
      <c r="I1414" s="32" t="s">
        <v>174</v>
      </c>
      <c r="J1414" s="32">
        <v>1</v>
      </c>
      <c r="K1414" s="32" t="s">
        <v>183</v>
      </c>
      <c r="L1414" s="18">
        <f t="shared" si="22"/>
        <v>999999999</v>
      </c>
    </row>
    <row r="1415" spans="1:12" ht="15" customHeight="1" x14ac:dyDescent="0.25">
      <c r="A1415" s="32" t="s">
        <v>186</v>
      </c>
      <c r="B1415" s="32" t="s">
        <v>55</v>
      </c>
      <c r="C1415" s="32" t="s">
        <v>154</v>
      </c>
      <c r="D1415" s="32">
        <v>38.01</v>
      </c>
      <c r="E1415" s="32">
        <v>38.5</v>
      </c>
      <c r="F1415" s="32" t="s">
        <v>173</v>
      </c>
      <c r="G1415" s="32">
        <v>7.8064</v>
      </c>
      <c r="H1415" s="32">
        <v>4.8064</v>
      </c>
      <c r="I1415" s="32" t="s">
        <v>174</v>
      </c>
      <c r="J1415" s="32">
        <v>1</v>
      </c>
      <c r="K1415" s="32" t="s">
        <v>183</v>
      </c>
      <c r="L1415" s="18">
        <f t="shared" si="22"/>
        <v>999999999</v>
      </c>
    </row>
    <row r="1416" spans="1:12" ht="15" customHeight="1" x14ac:dyDescent="0.25">
      <c r="A1416" s="32" t="s">
        <v>186</v>
      </c>
      <c r="B1416" s="32" t="s">
        <v>55</v>
      </c>
      <c r="C1416" s="32" t="s">
        <v>154</v>
      </c>
      <c r="D1416" s="32">
        <v>38.51</v>
      </c>
      <c r="E1416" s="32">
        <v>39</v>
      </c>
      <c r="F1416" s="32" t="s">
        <v>173</v>
      </c>
      <c r="G1416" s="32">
        <v>7.8768000000000002</v>
      </c>
      <c r="H1416" s="32">
        <v>3.8767999999999998</v>
      </c>
      <c r="I1416" s="32" t="s">
        <v>174</v>
      </c>
      <c r="J1416" s="32">
        <v>1</v>
      </c>
      <c r="K1416" s="32" t="s">
        <v>183</v>
      </c>
      <c r="L1416" s="18">
        <f t="shared" si="22"/>
        <v>999999999</v>
      </c>
    </row>
    <row r="1417" spans="1:12" ht="15" customHeight="1" x14ac:dyDescent="0.25">
      <c r="A1417" s="32" t="s">
        <v>186</v>
      </c>
      <c r="B1417" s="32" t="s">
        <v>55</v>
      </c>
      <c r="C1417" s="32" t="s">
        <v>154</v>
      </c>
      <c r="D1417" s="32">
        <v>39.01</v>
      </c>
      <c r="E1417" s="32">
        <v>39.5</v>
      </c>
      <c r="F1417" s="32" t="s">
        <v>173</v>
      </c>
      <c r="G1417" s="32">
        <v>7.9471999999999996</v>
      </c>
      <c r="H1417" s="32">
        <v>2.9472</v>
      </c>
      <c r="I1417" s="32" t="s">
        <v>174</v>
      </c>
      <c r="J1417" s="32">
        <v>1</v>
      </c>
      <c r="K1417" s="32" t="s">
        <v>183</v>
      </c>
      <c r="L1417" s="18">
        <f t="shared" si="22"/>
        <v>999999999</v>
      </c>
    </row>
    <row r="1418" spans="1:12" ht="15" customHeight="1" x14ac:dyDescent="0.25">
      <c r="A1418" s="32" t="s">
        <v>186</v>
      </c>
      <c r="B1418" s="32" t="s">
        <v>55</v>
      </c>
      <c r="C1418" s="32" t="s">
        <v>154</v>
      </c>
      <c r="D1418" s="32">
        <v>39.51</v>
      </c>
      <c r="E1418" s="32">
        <v>40</v>
      </c>
      <c r="F1418" s="32" t="s">
        <v>173</v>
      </c>
      <c r="G1418" s="32">
        <v>9.0175999999999998</v>
      </c>
      <c r="H1418" s="32">
        <v>5.0175999999999998</v>
      </c>
      <c r="I1418" s="32" t="s">
        <v>174</v>
      </c>
      <c r="J1418" s="32">
        <v>1</v>
      </c>
      <c r="K1418" s="32" t="s">
        <v>183</v>
      </c>
      <c r="L1418" s="18">
        <f t="shared" si="22"/>
        <v>999999999</v>
      </c>
    </row>
    <row r="1419" spans="1:12" ht="15" customHeight="1" x14ac:dyDescent="0.25">
      <c r="A1419" s="32" t="s">
        <v>186</v>
      </c>
      <c r="B1419" s="32" t="s">
        <v>55</v>
      </c>
      <c r="C1419" s="32" t="s">
        <v>154</v>
      </c>
      <c r="D1419" s="32">
        <v>40.01</v>
      </c>
      <c r="E1419" s="32">
        <v>40.5</v>
      </c>
      <c r="F1419" s="32" t="s">
        <v>173</v>
      </c>
      <c r="G1419" s="32">
        <v>9.0879999999999992</v>
      </c>
      <c r="H1419" s="32">
        <v>6.0880000000000001</v>
      </c>
      <c r="I1419" s="32" t="s">
        <v>174</v>
      </c>
      <c r="J1419" s="32">
        <v>1</v>
      </c>
      <c r="K1419" s="32" t="s">
        <v>183</v>
      </c>
      <c r="L1419" s="18">
        <f t="shared" si="22"/>
        <v>999999999</v>
      </c>
    </row>
    <row r="1420" spans="1:12" ht="15" customHeight="1" x14ac:dyDescent="0.25">
      <c r="A1420" s="32" t="s">
        <v>186</v>
      </c>
      <c r="B1420" s="32" t="s">
        <v>55</v>
      </c>
      <c r="C1420" s="32" t="s">
        <v>154</v>
      </c>
      <c r="D1420" s="32">
        <v>40.51</v>
      </c>
      <c r="E1420" s="32">
        <v>41</v>
      </c>
      <c r="F1420" s="32" t="s">
        <v>173</v>
      </c>
      <c r="G1420" s="32">
        <v>9.1584000000000003</v>
      </c>
      <c r="H1420" s="32">
        <v>6.1584000000000003</v>
      </c>
      <c r="I1420" s="32" t="s">
        <v>174</v>
      </c>
      <c r="J1420" s="32">
        <v>1</v>
      </c>
      <c r="K1420" s="32" t="s">
        <v>183</v>
      </c>
      <c r="L1420" s="18">
        <f t="shared" si="22"/>
        <v>999999999</v>
      </c>
    </row>
    <row r="1421" spans="1:12" ht="15" customHeight="1" x14ac:dyDescent="0.25">
      <c r="A1421" s="32" t="s">
        <v>186</v>
      </c>
      <c r="B1421" s="32" t="s">
        <v>55</v>
      </c>
      <c r="C1421" s="32" t="s">
        <v>154</v>
      </c>
      <c r="D1421" s="32">
        <v>41.01</v>
      </c>
      <c r="E1421" s="32">
        <v>41.5</v>
      </c>
      <c r="F1421" s="32" t="s">
        <v>173</v>
      </c>
      <c r="G1421" s="32">
        <v>9.2287999999999997</v>
      </c>
      <c r="H1421" s="32">
        <v>6.2287999999999997</v>
      </c>
      <c r="I1421" s="32" t="s">
        <v>174</v>
      </c>
      <c r="J1421" s="32">
        <v>1</v>
      </c>
      <c r="K1421" s="32" t="s">
        <v>183</v>
      </c>
      <c r="L1421" s="18">
        <f t="shared" si="22"/>
        <v>999999999</v>
      </c>
    </row>
    <row r="1422" spans="1:12" ht="15" customHeight="1" x14ac:dyDescent="0.25">
      <c r="A1422" s="32" t="s">
        <v>186</v>
      </c>
      <c r="B1422" s="32" t="s">
        <v>55</v>
      </c>
      <c r="C1422" s="32" t="s">
        <v>154</v>
      </c>
      <c r="D1422" s="32">
        <v>41.51</v>
      </c>
      <c r="E1422" s="32">
        <v>42</v>
      </c>
      <c r="F1422" s="32" t="s">
        <v>173</v>
      </c>
      <c r="G1422" s="32">
        <v>9.2992000000000008</v>
      </c>
      <c r="H1422" s="32">
        <v>6.2991999999999999</v>
      </c>
      <c r="I1422" s="32" t="s">
        <v>174</v>
      </c>
      <c r="J1422" s="32">
        <v>1</v>
      </c>
      <c r="K1422" s="32" t="s">
        <v>183</v>
      </c>
      <c r="L1422" s="18">
        <f t="shared" si="22"/>
        <v>999999999</v>
      </c>
    </row>
    <row r="1423" spans="1:12" ht="15" customHeight="1" x14ac:dyDescent="0.25">
      <c r="A1423" s="32" t="s">
        <v>186</v>
      </c>
      <c r="B1423" s="32" t="s">
        <v>55</v>
      </c>
      <c r="C1423" s="32" t="s">
        <v>154</v>
      </c>
      <c r="D1423" s="32">
        <v>42.01</v>
      </c>
      <c r="E1423" s="32">
        <v>42.5</v>
      </c>
      <c r="F1423" s="32" t="s">
        <v>173</v>
      </c>
      <c r="G1423" s="32">
        <v>9.3696000000000002</v>
      </c>
      <c r="H1423" s="32">
        <v>4.3696000000000002</v>
      </c>
      <c r="I1423" s="32" t="s">
        <v>174</v>
      </c>
      <c r="J1423" s="32">
        <v>1</v>
      </c>
      <c r="K1423" s="32" t="s">
        <v>183</v>
      </c>
      <c r="L1423" s="18">
        <f t="shared" si="22"/>
        <v>999999999</v>
      </c>
    </row>
    <row r="1424" spans="1:12" ht="15" customHeight="1" x14ac:dyDescent="0.25">
      <c r="A1424" s="32" t="s">
        <v>186</v>
      </c>
      <c r="B1424" s="32" t="s">
        <v>55</v>
      </c>
      <c r="C1424" s="32" t="s">
        <v>154</v>
      </c>
      <c r="D1424" s="32">
        <v>42.51</v>
      </c>
      <c r="E1424" s="32">
        <v>43</v>
      </c>
      <c r="F1424" s="32" t="s">
        <v>173</v>
      </c>
      <c r="G1424" s="32">
        <v>9.44</v>
      </c>
      <c r="H1424" s="32">
        <v>5.44</v>
      </c>
      <c r="I1424" s="32" t="s">
        <v>174</v>
      </c>
      <c r="J1424" s="32">
        <v>1</v>
      </c>
      <c r="K1424" s="32" t="s">
        <v>183</v>
      </c>
      <c r="L1424" s="18">
        <f t="shared" si="22"/>
        <v>999999999</v>
      </c>
    </row>
    <row r="1425" spans="1:12" ht="15" customHeight="1" x14ac:dyDescent="0.25">
      <c r="A1425" s="32" t="s">
        <v>186</v>
      </c>
      <c r="B1425" s="32" t="s">
        <v>55</v>
      </c>
      <c r="C1425" s="32" t="s">
        <v>154</v>
      </c>
      <c r="D1425" s="32">
        <v>43.01</v>
      </c>
      <c r="E1425" s="32">
        <v>43.5</v>
      </c>
      <c r="F1425" s="32" t="s">
        <v>173</v>
      </c>
      <c r="G1425" s="32">
        <v>9.5104000000000006</v>
      </c>
      <c r="H1425" s="32">
        <v>3.5104000000000002</v>
      </c>
      <c r="I1425" s="32" t="s">
        <v>174</v>
      </c>
      <c r="J1425" s="32">
        <v>1</v>
      </c>
      <c r="K1425" s="32" t="s">
        <v>183</v>
      </c>
      <c r="L1425" s="18">
        <f t="shared" si="22"/>
        <v>999999999</v>
      </c>
    </row>
    <row r="1426" spans="1:12" ht="15" customHeight="1" x14ac:dyDescent="0.25">
      <c r="A1426" s="32" t="s">
        <v>186</v>
      </c>
      <c r="B1426" s="32" t="s">
        <v>55</v>
      </c>
      <c r="C1426" s="32" t="s">
        <v>154</v>
      </c>
      <c r="D1426" s="32">
        <v>43.51</v>
      </c>
      <c r="E1426" s="32">
        <v>44</v>
      </c>
      <c r="F1426" s="32" t="s">
        <v>173</v>
      </c>
      <c r="G1426" s="32">
        <v>9.5808</v>
      </c>
      <c r="H1426" s="32">
        <v>6.5808</v>
      </c>
      <c r="I1426" s="32" t="s">
        <v>174</v>
      </c>
      <c r="J1426" s="32">
        <v>1</v>
      </c>
      <c r="K1426" s="32" t="s">
        <v>183</v>
      </c>
      <c r="L1426" s="18">
        <f t="shared" si="22"/>
        <v>999999999</v>
      </c>
    </row>
    <row r="1427" spans="1:12" ht="15" customHeight="1" x14ac:dyDescent="0.25">
      <c r="A1427" s="32" t="s">
        <v>186</v>
      </c>
      <c r="B1427" s="32" t="s">
        <v>55</v>
      </c>
      <c r="C1427" s="32" t="s">
        <v>154</v>
      </c>
      <c r="D1427" s="32">
        <v>44.01</v>
      </c>
      <c r="E1427" s="32">
        <v>44.5</v>
      </c>
      <c r="F1427" s="32" t="s">
        <v>173</v>
      </c>
      <c r="G1427" s="32">
        <v>9.6511999999999993</v>
      </c>
      <c r="H1427" s="32">
        <v>5.6512000000000002</v>
      </c>
      <c r="I1427" s="32" t="s">
        <v>174</v>
      </c>
      <c r="J1427" s="32">
        <v>1</v>
      </c>
      <c r="K1427" s="32" t="s">
        <v>183</v>
      </c>
      <c r="L1427" s="18">
        <f t="shared" si="22"/>
        <v>999999999</v>
      </c>
    </row>
    <row r="1428" spans="1:12" ht="15" customHeight="1" x14ac:dyDescent="0.25">
      <c r="A1428" s="32" t="s">
        <v>186</v>
      </c>
      <c r="B1428" s="32" t="s">
        <v>55</v>
      </c>
      <c r="C1428" s="32" t="s">
        <v>154</v>
      </c>
      <c r="D1428" s="32">
        <v>44.51</v>
      </c>
      <c r="E1428" s="32">
        <v>45</v>
      </c>
      <c r="F1428" s="32" t="s">
        <v>173</v>
      </c>
      <c r="G1428" s="32">
        <v>9.7216000000000005</v>
      </c>
      <c r="H1428" s="32">
        <v>3.7216</v>
      </c>
      <c r="I1428" s="32" t="s">
        <v>174</v>
      </c>
      <c r="J1428" s="32">
        <v>1</v>
      </c>
      <c r="K1428" s="32" t="s">
        <v>183</v>
      </c>
      <c r="L1428" s="18">
        <f t="shared" si="22"/>
        <v>999999999</v>
      </c>
    </row>
    <row r="1429" spans="1:12" ht="15" customHeight="1" x14ac:dyDescent="0.25">
      <c r="A1429" s="32" t="s">
        <v>186</v>
      </c>
      <c r="B1429" s="32" t="s">
        <v>55</v>
      </c>
      <c r="C1429" s="32" t="s">
        <v>154</v>
      </c>
      <c r="D1429" s="32">
        <v>45.01</v>
      </c>
      <c r="E1429" s="32">
        <v>45.5</v>
      </c>
      <c r="F1429" s="32" t="s">
        <v>173</v>
      </c>
      <c r="G1429" s="32">
        <v>9.7783999999999995</v>
      </c>
      <c r="H1429" s="32">
        <v>3.7784</v>
      </c>
      <c r="I1429" s="32" t="s">
        <v>174</v>
      </c>
      <c r="J1429" s="32">
        <v>1</v>
      </c>
      <c r="K1429" s="32" t="s">
        <v>183</v>
      </c>
      <c r="L1429" s="18">
        <f t="shared" si="22"/>
        <v>999999999</v>
      </c>
    </row>
    <row r="1430" spans="1:12" ht="15" customHeight="1" x14ac:dyDescent="0.25">
      <c r="A1430" s="32" t="s">
        <v>186</v>
      </c>
      <c r="B1430" s="32" t="s">
        <v>55</v>
      </c>
      <c r="C1430" s="32" t="s">
        <v>154</v>
      </c>
      <c r="D1430" s="32">
        <v>45.51</v>
      </c>
      <c r="E1430" s="32">
        <v>46</v>
      </c>
      <c r="F1430" s="32" t="s">
        <v>173</v>
      </c>
      <c r="G1430" s="32">
        <v>9.8352000000000004</v>
      </c>
      <c r="H1430" s="32">
        <v>2.8351999999999999</v>
      </c>
      <c r="I1430" s="32" t="s">
        <v>174</v>
      </c>
      <c r="J1430" s="32">
        <v>1</v>
      </c>
      <c r="K1430" s="32" t="s">
        <v>183</v>
      </c>
      <c r="L1430" s="18">
        <f t="shared" si="22"/>
        <v>999999999</v>
      </c>
    </row>
    <row r="1431" spans="1:12" ht="15" customHeight="1" x14ac:dyDescent="0.25">
      <c r="A1431" s="32" t="s">
        <v>186</v>
      </c>
      <c r="B1431" s="32" t="s">
        <v>55</v>
      </c>
      <c r="C1431" s="32" t="s">
        <v>154</v>
      </c>
      <c r="D1431" s="32">
        <v>46.01</v>
      </c>
      <c r="E1431" s="32">
        <v>46.5</v>
      </c>
      <c r="F1431" s="32" t="s">
        <v>173</v>
      </c>
      <c r="G1431" s="32">
        <v>9.8919999999999995</v>
      </c>
      <c r="H1431" s="32">
        <v>5.8920000000000003</v>
      </c>
      <c r="I1431" s="32" t="s">
        <v>174</v>
      </c>
      <c r="J1431" s="32">
        <v>1</v>
      </c>
      <c r="K1431" s="32" t="s">
        <v>183</v>
      </c>
      <c r="L1431" s="18">
        <f t="shared" si="22"/>
        <v>999999999</v>
      </c>
    </row>
    <row r="1432" spans="1:12" ht="15" customHeight="1" x14ac:dyDescent="0.25">
      <c r="A1432" s="32" t="s">
        <v>186</v>
      </c>
      <c r="B1432" s="32" t="s">
        <v>55</v>
      </c>
      <c r="C1432" s="32" t="s">
        <v>154</v>
      </c>
      <c r="D1432" s="32">
        <v>46.51</v>
      </c>
      <c r="E1432" s="32">
        <v>47</v>
      </c>
      <c r="F1432" s="32" t="s">
        <v>173</v>
      </c>
      <c r="G1432" s="32">
        <v>9.9488000000000003</v>
      </c>
      <c r="H1432" s="32">
        <v>3.9487999999999999</v>
      </c>
      <c r="I1432" s="32" t="s">
        <v>174</v>
      </c>
      <c r="J1432" s="32">
        <v>1</v>
      </c>
      <c r="K1432" s="32" t="s">
        <v>183</v>
      </c>
      <c r="L1432" s="18">
        <f t="shared" si="22"/>
        <v>999999999</v>
      </c>
    </row>
    <row r="1433" spans="1:12" ht="15" customHeight="1" x14ac:dyDescent="0.25">
      <c r="A1433" s="32" t="s">
        <v>186</v>
      </c>
      <c r="B1433" s="32" t="s">
        <v>55</v>
      </c>
      <c r="C1433" s="32" t="s">
        <v>154</v>
      </c>
      <c r="D1433" s="32">
        <v>47.01</v>
      </c>
      <c r="E1433" s="32">
        <v>47.5</v>
      </c>
      <c r="F1433" s="32" t="s">
        <v>173</v>
      </c>
      <c r="G1433" s="32">
        <v>11.005599999999999</v>
      </c>
      <c r="H1433" s="32">
        <v>6.0056000000000003</v>
      </c>
      <c r="I1433" s="32" t="s">
        <v>174</v>
      </c>
      <c r="J1433" s="32">
        <v>1</v>
      </c>
      <c r="K1433" s="32" t="s">
        <v>183</v>
      </c>
      <c r="L1433" s="18">
        <f t="shared" si="22"/>
        <v>999999999</v>
      </c>
    </row>
    <row r="1434" spans="1:12" ht="15" customHeight="1" x14ac:dyDescent="0.25">
      <c r="A1434" s="32" t="s">
        <v>186</v>
      </c>
      <c r="B1434" s="32" t="s">
        <v>55</v>
      </c>
      <c r="C1434" s="32" t="s">
        <v>154</v>
      </c>
      <c r="D1434" s="32">
        <v>47.51</v>
      </c>
      <c r="E1434" s="32">
        <v>48</v>
      </c>
      <c r="F1434" s="32" t="s">
        <v>173</v>
      </c>
      <c r="G1434" s="32">
        <v>11.0624</v>
      </c>
      <c r="H1434" s="32">
        <v>3.0623999999999998</v>
      </c>
      <c r="I1434" s="32" t="s">
        <v>174</v>
      </c>
      <c r="J1434" s="32">
        <v>1</v>
      </c>
      <c r="K1434" s="32" t="s">
        <v>183</v>
      </c>
      <c r="L1434" s="18">
        <f t="shared" si="22"/>
        <v>999999999</v>
      </c>
    </row>
    <row r="1435" spans="1:12" ht="15" customHeight="1" x14ac:dyDescent="0.25">
      <c r="A1435" s="32" t="s">
        <v>186</v>
      </c>
      <c r="B1435" s="32" t="s">
        <v>55</v>
      </c>
      <c r="C1435" s="32" t="s">
        <v>154</v>
      </c>
      <c r="D1435" s="32">
        <v>48.01</v>
      </c>
      <c r="E1435" s="32">
        <v>48.5</v>
      </c>
      <c r="F1435" s="32" t="s">
        <v>173</v>
      </c>
      <c r="G1435" s="32">
        <v>11.119199999999999</v>
      </c>
      <c r="H1435" s="32">
        <v>3.1192000000000002</v>
      </c>
      <c r="I1435" s="32" t="s">
        <v>174</v>
      </c>
      <c r="J1435" s="32">
        <v>1</v>
      </c>
      <c r="K1435" s="32" t="s">
        <v>183</v>
      </c>
      <c r="L1435" s="18">
        <f t="shared" si="22"/>
        <v>999999999</v>
      </c>
    </row>
    <row r="1436" spans="1:12" ht="15" customHeight="1" x14ac:dyDescent="0.25">
      <c r="A1436" s="32" t="s">
        <v>186</v>
      </c>
      <c r="B1436" s="32" t="s">
        <v>55</v>
      </c>
      <c r="C1436" s="32" t="s">
        <v>154</v>
      </c>
      <c r="D1436" s="32">
        <v>48.51</v>
      </c>
      <c r="E1436" s="32">
        <v>49</v>
      </c>
      <c r="F1436" s="32" t="s">
        <v>173</v>
      </c>
      <c r="G1436" s="32">
        <v>11.176</v>
      </c>
      <c r="H1436" s="32">
        <v>4.1760000000000002</v>
      </c>
      <c r="I1436" s="32" t="s">
        <v>174</v>
      </c>
      <c r="J1436" s="32">
        <v>1</v>
      </c>
      <c r="K1436" s="32" t="s">
        <v>183</v>
      </c>
      <c r="L1436" s="18">
        <f t="shared" si="22"/>
        <v>999999999</v>
      </c>
    </row>
    <row r="1437" spans="1:12" ht="15" customHeight="1" x14ac:dyDescent="0.25">
      <c r="A1437" s="32" t="s">
        <v>186</v>
      </c>
      <c r="B1437" s="32" t="s">
        <v>55</v>
      </c>
      <c r="C1437" s="32" t="s">
        <v>154</v>
      </c>
      <c r="D1437" s="32">
        <v>49.01</v>
      </c>
      <c r="E1437" s="32">
        <v>49.5</v>
      </c>
      <c r="F1437" s="32" t="s">
        <v>173</v>
      </c>
      <c r="G1437" s="32">
        <v>11.232799999999999</v>
      </c>
      <c r="H1437" s="32">
        <v>3.2328000000000001</v>
      </c>
      <c r="I1437" s="32" t="s">
        <v>174</v>
      </c>
      <c r="J1437" s="32">
        <v>1</v>
      </c>
      <c r="K1437" s="32" t="s">
        <v>183</v>
      </c>
      <c r="L1437" s="18">
        <f t="shared" si="22"/>
        <v>999999999</v>
      </c>
    </row>
    <row r="1438" spans="1:12" ht="15" customHeight="1" x14ac:dyDescent="0.25">
      <c r="A1438" s="32" t="s">
        <v>186</v>
      </c>
      <c r="B1438" s="32" t="s">
        <v>55</v>
      </c>
      <c r="C1438" s="32" t="s">
        <v>154</v>
      </c>
      <c r="D1438" s="32">
        <v>49.51</v>
      </c>
      <c r="E1438" s="32">
        <v>50</v>
      </c>
      <c r="F1438" s="32" t="s">
        <v>173</v>
      </c>
      <c r="G1438" s="32">
        <v>11.2896</v>
      </c>
      <c r="H1438" s="32">
        <v>4.2896000000000001</v>
      </c>
      <c r="I1438" s="32" t="s">
        <v>174</v>
      </c>
      <c r="J1438" s="32">
        <v>1</v>
      </c>
      <c r="K1438" s="32" t="s">
        <v>183</v>
      </c>
      <c r="L1438" s="18">
        <f t="shared" si="22"/>
        <v>999999999</v>
      </c>
    </row>
    <row r="1439" spans="1:12" ht="15" customHeight="1" x14ac:dyDescent="0.25">
      <c r="A1439" s="32" t="s">
        <v>186</v>
      </c>
      <c r="B1439" s="32" t="s">
        <v>55</v>
      </c>
      <c r="C1439" s="32" t="s">
        <v>154</v>
      </c>
      <c r="D1439" s="32">
        <v>50.01</v>
      </c>
      <c r="E1439" s="32">
        <v>50.5</v>
      </c>
      <c r="F1439" s="32" t="s">
        <v>173</v>
      </c>
      <c r="G1439" s="32">
        <v>11.346399999999999</v>
      </c>
      <c r="H1439" s="32">
        <v>6.3464</v>
      </c>
      <c r="I1439" s="32" t="s">
        <v>174</v>
      </c>
      <c r="J1439" s="32">
        <v>1</v>
      </c>
      <c r="K1439" s="32" t="s">
        <v>183</v>
      </c>
      <c r="L1439" s="18">
        <f t="shared" si="22"/>
        <v>999999999</v>
      </c>
    </row>
    <row r="1440" spans="1:12" ht="15" customHeight="1" x14ac:dyDescent="0.25">
      <c r="A1440" s="32" t="s">
        <v>186</v>
      </c>
      <c r="B1440" s="32" t="s">
        <v>55</v>
      </c>
      <c r="C1440" s="32" t="s">
        <v>154</v>
      </c>
      <c r="D1440" s="32">
        <v>50.51</v>
      </c>
      <c r="E1440" s="32">
        <v>51</v>
      </c>
      <c r="F1440" s="32" t="s">
        <v>173</v>
      </c>
      <c r="G1440" s="32">
        <v>11.4032</v>
      </c>
      <c r="H1440" s="32">
        <v>5.4032</v>
      </c>
      <c r="I1440" s="32" t="s">
        <v>174</v>
      </c>
      <c r="J1440" s="32">
        <v>1</v>
      </c>
      <c r="K1440" s="32" t="s">
        <v>183</v>
      </c>
      <c r="L1440" s="18">
        <f t="shared" si="22"/>
        <v>999999999</v>
      </c>
    </row>
    <row r="1441" spans="1:12" ht="15" customHeight="1" x14ac:dyDescent="0.25">
      <c r="A1441" s="32" t="s">
        <v>186</v>
      </c>
      <c r="B1441" s="32" t="s">
        <v>55</v>
      </c>
      <c r="C1441" s="32" t="s">
        <v>154</v>
      </c>
      <c r="D1441" s="32">
        <v>51.01</v>
      </c>
      <c r="E1441" s="32">
        <v>51.5</v>
      </c>
      <c r="F1441" s="32" t="s">
        <v>173</v>
      </c>
      <c r="G1441" s="32">
        <v>11.46</v>
      </c>
      <c r="H1441" s="32">
        <v>6.46</v>
      </c>
      <c r="I1441" s="32" t="s">
        <v>174</v>
      </c>
      <c r="J1441" s="32">
        <v>1</v>
      </c>
      <c r="K1441" s="32" t="s">
        <v>183</v>
      </c>
      <c r="L1441" s="18">
        <f t="shared" si="22"/>
        <v>999999999</v>
      </c>
    </row>
    <row r="1442" spans="1:12" ht="15" customHeight="1" x14ac:dyDescent="0.25">
      <c r="A1442" s="32" t="s">
        <v>186</v>
      </c>
      <c r="B1442" s="32" t="s">
        <v>55</v>
      </c>
      <c r="C1442" s="32" t="s">
        <v>154</v>
      </c>
      <c r="D1442" s="32">
        <v>51.51</v>
      </c>
      <c r="E1442" s="32">
        <v>52</v>
      </c>
      <c r="F1442" s="32" t="s">
        <v>173</v>
      </c>
      <c r="G1442" s="32">
        <v>11.5168</v>
      </c>
      <c r="H1442" s="32">
        <v>6.5167999999999999</v>
      </c>
      <c r="I1442" s="32" t="s">
        <v>174</v>
      </c>
      <c r="J1442" s="32">
        <v>1</v>
      </c>
      <c r="K1442" s="32" t="s">
        <v>183</v>
      </c>
      <c r="L1442" s="18">
        <f t="shared" si="22"/>
        <v>999999999</v>
      </c>
    </row>
    <row r="1443" spans="1:12" ht="15" customHeight="1" x14ac:dyDescent="0.25">
      <c r="A1443" s="32" t="s">
        <v>186</v>
      </c>
      <c r="B1443" s="32" t="s">
        <v>55</v>
      </c>
      <c r="C1443" s="32" t="s">
        <v>154</v>
      </c>
      <c r="D1443" s="32">
        <v>52.01</v>
      </c>
      <c r="E1443" s="32">
        <v>52.5</v>
      </c>
      <c r="F1443" s="32" t="s">
        <v>173</v>
      </c>
      <c r="G1443" s="32">
        <v>11.573600000000001</v>
      </c>
      <c r="H1443" s="32">
        <v>3.5735999999999999</v>
      </c>
      <c r="I1443" s="32" t="s">
        <v>174</v>
      </c>
      <c r="J1443" s="32">
        <v>1</v>
      </c>
      <c r="K1443" s="32" t="s">
        <v>183</v>
      </c>
      <c r="L1443" s="18">
        <f t="shared" si="22"/>
        <v>999999999</v>
      </c>
    </row>
    <row r="1444" spans="1:12" ht="15" customHeight="1" x14ac:dyDescent="0.25">
      <c r="A1444" s="32" t="s">
        <v>186</v>
      </c>
      <c r="B1444" s="32" t="s">
        <v>55</v>
      </c>
      <c r="C1444" s="32" t="s">
        <v>154</v>
      </c>
      <c r="D1444" s="32">
        <v>52.51</v>
      </c>
      <c r="E1444" s="32">
        <v>53</v>
      </c>
      <c r="F1444" s="32" t="s">
        <v>173</v>
      </c>
      <c r="G1444" s="32">
        <v>11.6304</v>
      </c>
      <c r="H1444" s="32">
        <v>7.6303999999999998</v>
      </c>
      <c r="I1444" s="32" t="s">
        <v>174</v>
      </c>
      <c r="J1444" s="32">
        <v>1</v>
      </c>
      <c r="K1444" s="32" t="s">
        <v>183</v>
      </c>
      <c r="L1444" s="18">
        <f t="shared" si="22"/>
        <v>999999999</v>
      </c>
    </row>
    <row r="1445" spans="1:12" ht="15" customHeight="1" x14ac:dyDescent="0.25">
      <c r="A1445" s="32" t="s">
        <v>186</v>
      </c>
      <c r="B1445" s="32" t="s">
        <v>55</v>
      </c>
      <c r="C1445" s="32" t="s">
        <v>154</v>
      </c>
      <c r="D1445" s="32">
        <v>53.01</v>
      </c>
      <c r="E1445" s="32">
        <v>53.5</v>
      </c>
      <c r="F1445" s="32" t="s">
        <v>173</v>
      </c>
      <c r="G1445" s="32">
        <v>11.687200000000001</v>
      </c>
      <c r="H1445" s="32">
        <v>4.6871999999999998</v>
      </c>
      <c r="I1445" s="32" t="s">
        <v>174</v>
      </c>
      <c r="J1445" s="32">
        <v>1</v>
      </c>
      <c r="K1445" s="32" t="s">
        <v>183</v>
      </c>
      <c r="L1445" s="18">
        <f t="shared" si="22"/>
        <v>999999999</v>
      </c>
    </row>
    <row r="1446" spans="1:12" ht="15" customHeight="1" x14ac:dyDescent="0.25">
      <c r="A1446" s="32" t="s">
        <v>186</v>
      </c>
      <c r="B1446" s="32" t="s">
        <v>55</v>
      </c>
      <c r="C1446" s="32" t="s">
        <v>154</v>
      </c>
      <c r="D1446" s="32">
        <v>53.51</v>
      </c>
      <c r="E1446" s="32">
        <v>54</v>
      </c>
      <c r="F1446" s="32" t="s">
        <v>173</v>
      </c>
      <c r="G1446" s="32">
        <v>11.744</v>
      </c>
      <c r="H1446" s="32">
        <v>7.7439999999999998</v>
      </c>
      <c r="I1446" s="32" t="s">
        <v>174</v>
      </c>
      <c r="J1446" s="32">
        <v>1</v>
      </c>
      <c r="K1446" s="32" t="s">
        <v>183</v>
      </c>
      <c r="L1446" s="18">
        <f t="shared" si="22"/>
        <v>999999999</v>
      </c>
    </row>
    <row r="1447" spans="1:12" ht="15" customHeight="1" x14ac:dyDescent="0.25">
      <c r="A1447" s="32" t="s">
        <v>186</v>
      </c>
      <c r="B1447" s="32" t="s">
        <v>55</v>
      </c>
      <c r="C1447" s="32" t="s">
        <v>154</v>
      </c>
      <c r="D1447" s="32">
        <v>54.01</v>
      </c>
      <c r="E1447" s="32">
        <v>54.5</v>
      </c>
      <c r="F1447" s="32" t="s">
        <v>173</v>
      </c>
      <c r="G1447" s="32">
        <v>11.800800000000001</v>
      </c>
      <c r="H1447" s="32">
        <v>3.8008000000000002</v>
      </c>
      <c r="I1447" s="32" t="s">
        <v>174</v>
      </c>
      <c r="J1447" s="32">
        <v>1</v>
      </c>
      <c r="K1447" s="32" t="s">
        <v>183</v>
      </c>
      <c r="L1447" s="18">
        <f t="shared" si="22"/>
        <v>999999999</v>
      </c>
    </row>
    <row r="1448" spans="1:12" ht="15" customHeight="1" x14ac:dyDescent="0.25">
      <c r="A1448" s="32" t="s">
        <v>186</v>
      </c>
      <c r="B1448" s="32" t="s">
        <v>55</v>
      </c>
      <c r="C1448" s="32" t="s">
        <v>154</v>
      </c>
      <c r="D1448" s="32">
        <v>54.51</v>
      </c>
      <c r="E1448" s="32">
        <v>55</v>
      </c>
      <c r="F1448" s="32" t="s">
        <v>173</v>
      </c>
      <c r="G1448" s="32">
        <v>11.8576</v>
      </c>
      <c r="H1448" s="32">
        <v>3.8576000000000001</v>
      </c>
      <c r="I1448" s="32" t="s">
        <v>174</v>
      </c>
      <c r="J1448" s="32">
        <v>1</v>
      </c>
      <c r="K1448" s="32" t="s">
        <v>183</v>
      </c>
      <c r="L1448" s="18">
        <f t="shared" si="22"/>
        <v>999999999</v>
      </c>
    </row>
    <row r="1449" spans="1:12" ht="15" customHeight="1" x14ac:dyDescent="0.25">
      <c r="A1449" s="32" t="s">
        <v>186</v>
      </c>
      <c r="B1449" s="32" t="s">
        <v>55</v>
      </c>
      <c r="C1449" s="32" t="s">
        <v>154</v>
      </c>
      <c r="D1449" s="32">
        <v>55.01</v>
      </c>
      <c r="E1449" s="32">
        <v>55.5</v>
      </c>
      <c r="F1449" s="32" t="s">
        <v>173</v>
      </c>
      <c r="G1449" s="32">
        <v>11.914400000000001</v>
      </c>
      <c r="H1449" s="32">
        <v>3.9144000000000001</v>
      </c>
      <c r="I1449" s="32" t="s">
        <v>174</v>
      </c>
      <c r="J1449" s="32">
        <v>1</v>
      </c>
      <c r="K1449" s="32" t="s">
        <v>183</v>
      </c>
      <c r="L1449" s="18">
        <f t="shared" si="22"/>
        <v>999999999</v>
      </c>
    </row>
    <row r="1450" spans="1:12" ht="15" customHeight="1" x14ac:dyDescent="0.25">
      <c r="A1450" s="32" t="s">
        <v>186</v>
      </c>
      <c r="B1450" s="32" t="s">
        <v>55</v>
      </c>
      <c r="C1450" s="32" t="s">
        <v>154</v>
      </c>
      <c r="D1450" s="32">
        <v>55.51</v>
      </c>
      <c r="E1450" s="32">
        <v>56</v>
      </c>
      <c r="F1450" s="32" t="s">
        <v>173</v>
      </c>
      <c r="G1450" s="32">
        <v>11.9712</v>
      </c>
      <c r="H1450" s="32">
        <v>6.9711999999999996</v>
      </c>
      <c r="I1450" s="32" t="s">
        <v>174</v>
      </c>
      <c r="J1450" s="32">
        <v>1</v>
      </c>
      <c r="K1450" s="32" t="s">
        <v>183</v>
      </c>
      <c r="L1450" s="18">
        <f t="shared" si="22"/>
        <v>999999999</v>
      </c>
    </row>
    <row r="1451" spans="1:12" ht="15" customHeight="1" x14ac:dyDescent="0.25">
      <c r="A1451" s="32" t="s">
        <v>186</v>
      </c>
      <c r="B1451" s="32" t="s">
        <v>55</v>
      </c>
      <c r="C1451" s="32" t="s">
        <v>154</v>
      </c>
      <c r="D1451" s="32">
        <v>56.01</v>
      </c>
      <c r="E1451" s="32">
        <v>56.5</v>
      </c>
      <c r="F1451" s="32" t="s">
        <v>173</v>
      </c>
      <c r="G1451" s="32">
        <v>13.028</v>
      </c>
      <c r="H1451" s="32">
        <v>5.0279999999999996</v>
      </c>
      <c r="I1451" s="32" t="s">
        <v>174</v>
      </c>
      <c r="J1451" s="32">
        <v>1</v>
      </c>
      <c r="K1451" s="32" t="s">
        <v>183</v>
      </c>
      <c r="L1451" s="18">
        <f t="shared" si="22"/>
        <v>999999999</v>
      </c>
    </row>
    <row r="1452" spans="1:12" ht="15" customHeight="1" x14ac:dyDescent="0.25">
      <c r="A1452" s="32" t="s">
        <v>186</v>
      </c>
      <c r="B1452" s="32" t="s">
        <v>55</v>
      </c>
      <c r="C1452" s="32" t="s">
        <v>154</v>
      </c>
      <c r="D1452" s="32">
        <v>56.51</v>
      </c>
      <c r="E1452" s="32">
        <v>57</v>
      </c>
      <c r="F1452" s="32" t="s">
        <v>173</v>
      </c>
      <c r="G1452" s="32">
        <v>13.0848</v>
      </c>
      <c r="H1452" s="32">
        <v>8.0847999999999995</v>
      </c>
      <c r="I1452" s="32" t="s">
        <v>174</v>
      </c>
      <c r="J1452" s="32">
        <v>1</v>
      </c>
      <c r="K1452" s="32" t="s">
        <v>183</v>
      </c>
      <c r="L1452" s="18">
        <f t="shared" si="22"/>
        <v>999999999</v>
      </c>
    </row>
    <row r="1453" spans="1:12" ht="15" customHeight="1" x14ac:dyDescent="0.25">
      <c r="A1453" s="32" t="s">
        <v>186</v>
      </c>
      <c r="B1453" s="32" t="s">
        <v>55</v>
      </c>
      <c r="C1453" s="32" t="s">
        <v>154</v>
      </c>
      <c r="D1453" s="32">
        <v>57.01</v>
      </c>
      <c r="E1453" s="32">
        <v>57.5</v>
      </c>
      <c r="F1453" s="32" t="s">
        <v>173</v>
      </c>
      <c r="G1453" s="32">
        <v>13.1416</v>
      </c>
      <c r="H1453" s="32">
        <v>6.1416000000000004</v>
      </c>
      <c r="I1453" s="32" t="s">
        <v>174</v>
      </c>
      <c r="J1453" s="32">
        <v>1</v>
      </c>
      <c r="K1453" s="32" t="s">
        <v>183</v>
      </c>
      <c r="L1453" s="18">
        <f t="shared" si="22"/>
        <v>999999999</v>
      </c>
    </row>
    <row r="1454" spans="1:12" ht="15" customHeight="1" x14ac:dyDescent="0.25">
      <c r="A1454" s="32" t="s">
        <v>186</v>
      </c>
      <c r="B1454" s="32" t="s">
        <v>55</v>
      </c>
      <c r="C1454" s="32" t="s">
        <v>154</v>
      </c>
      <c r="D1454" s="32">
        <v>57.51</v>
      </c>
      <c r="E1454" s="32">
        <v>58</v>
      </c>
      <c r="F1454" s="32" t="s">
        <v>173</v>
      </c>
      <c r="G1454" s="32">
        <v>13.198399999999999</v>
      </c>
      <c r="H1454" s="32">
        <v>8.1983999999999995</v>
      </c>
      <c r="I1454" s="32" t="s">
        <v>174</v>
      </c>
      <c r="J1454" s="32">
        <v>1</v>
      </c>
      <c r="K1454" s="32" t="s">
        <v>183</v>
      </c>
      <c r="L1454" s="18">
        <f t="shared" si="22"/>
        <v>999999999</v>
      </c>
    </row>
    <row r="1455" spans="1:12" ht="15" customHeight="1" x14ac:dyDescent="0.25">
      <c r="A1455" s="32" t="s">
        <v>186</v>
      </c>
      <c r="B1455" s="32" t="s">
        <v>55</v>
      </c>
      <c r="C1455" s="32" t="s">
        <v>154</v>
      </c>
      <c r="D1455" s="32">
        <v>58.01</v>
      </c>
      <c r="E1455" s="32">
        <v>58.5</v>
      </c>
      <c r="F1455" s="32" t="s">
        <v>173</v>
      </c>
      <c r="G1455" s="32">
        <v>13.2552</v>
      </c>
      <c r="H1455" s="32">
        <v>8.2552000000000003</v>
      </c>
      <c r="I1455" s="32" t="s">
        <v>174</v>
      </c>
      <c r="J1455" s="32">
        <v>1</v>
      </c>
      <c r="K1455" s="32" t="s">
        <v>183</v>
      </c>
      <c r="L1455" s="18">
        <f t="shared" si="22"/>
        <v>999999999</v>
      </c>
    </row>
    <row r="1456" spans="1:12" ht="15" customHeight="1" x14ac:dyDescent="0.25">
      <c r="A1456" s="32" t="s">
        <v>186</v>
      </c>
      <c r="B1456" s="32" t="s">
        <v>55</v>
      </c>
      <c r="C1456" s="32" t="s">
        <v>154</v>
      </c>
      <c r="D1456" s="32">
        <v>58.51</v>
      </c>
      <c r="E1456" s="32">
        <v>59</v>
      </c>
      <c r="F1456" s="32" t="s">
        <v>173</v>
      </c>
      <c r="G1456" s="32">
        <v>13.311999999999999</v>
      </c>
      <c r="H1456" s="32">
        <v>3.3119999999999998</v>
      </c>
      <c r="I1456" s="32" t="s">
        <v>174</v>
      </c>
      <c r="J1456" s="32">
        <v>1</v>
      </c>
      <c r="K1456" s="32" t="s">
        <v>183</v>
      </c>
      <c r="L1456" s="18">
        <f t="shared" si="22"/>
        <v>999999999</v>
      </c>
    </row>
    <row r="1457" spans="1:12" ht="15" customHeight="1" x14ac:dyDescent="0.25">
      <c r="A1457" s="32" t="s">
        <v>186</v>
      </c>
      <c r="B1457" s="32" t="s">
        <v>55</v>
      </c>
      <c r="C1457" s="32" t="s">
        <v>154</v>
      </c>
      <c r="D1457" s="32">
        <v>59.01</v>
      </c>
      <c r="E1457" s="32">
        <v>59.5</v>
      </c>
      <c r="F1457" s="32" t="s">
        <v>173</v>
      </c>
      <c r="G1457" s="32">
        <v>13.3688</v>
      </c>
      <c r="H1457" s="32">
        <v>3.3687999999999998</v>
      </c>
      <c r="I1457" s="32" t="s">
        <v>174</v>
      </c>
      <c r="J1457" s="32">
        <v>1</v>
      </c>
      <c r="K1457" s="32" t="s">
        <v>183</v>
      </c>
      <c r="L1457" s="18">
        <f t="shared" si="22"/>
        <v>999999999</v>
      </c>
    </row>
    <row r="1458" spans="1:12" ht="15" customHeight="1" x14ac:dyDescent="0.25">
      <c r="A1458" s="32" t="s">
        <v>186</v>
      </c>
      <c r="B1458" s="32" t="s">
        <v>55</v>
      </c>
      <c r="C1458" s="32" t="s">
        <v>154</v>
      </c>
      <c r="D1458" s="32">
        <v>59.51</v>
      </c>
      <c r="E1458" s="32">
        <v>60</v>
      </c>
      <c r="F1458" s="32" t="s">
        <v>173</v>
      </c>
      <c r="G1458" s="32">
        <v>13.425599999999999</v>
      </c>
      <c r="H1458" s="32">
        <v>5.4256000000000002</v>
      </c>
      <c r="I1458" s="32" t="s">
        <v>174</v>
      </c>
      <c r="J1458" s="32">
        <v>1</v>
      </c>
      <c r="K1458" s="32" t="s">
        <v>183</v>
      </c>
      <c r="L1458" s="18">
        <f t="shared" si="22"/>
        <v>999999999</v>
      </c>
    </row>
    <row r="1459" spans="1:12" ht="15" customHeight="1" x14ac:dyDescent="0.25">
      <c r="A1459" s="32" t="s">
        <v>186</v>
      </c>
      <c r="B1459" s="32" t="s">
        <v>55</v>
      </c>
      <c r="C1459" s="32" t="s">
        <v>154</v>
      </c>
      <c r="D1459" s="32">
        <v>60.01</v>
      </c>
      <c r="E1459" s="32">
        <v>60.5</v>
      </c>
      <c r="F1459" s="32" t="s">
        <v>173</v>
      </c>
      <c r="G1459" s="32">
        <v>13.4824</v>
      </c>
      <c r="H1459" s="32">
        <v>3.4824000000000002</v>
      </c>
      <c r="I1459" s="32" t="s">
        <v>174</v>
      </c>
      <c r="J1459" s="32">
        <v>1</v>
      </c>
      <c r="K1459" s="32" t="s">
        <v>183</v>
      </c>
      <c r="L1459" s="18">
        <f t="shared" si="22"/>
        <v>999999999</v>
      </c>
    </row>
    <row r="1460" spans="1:12" ht="15" customHeight="1" x14ac:dyDescent="0.25">
      <c r="A1460" s="32" t="s">
        <v>186</v>
      </c>
      <c r="B1460" s="32" t="s">
        <v>55</v>
      </c>
      <c r="C1460" s="32" t="s">
        <v>154</v>
      </c>
      <c r="D1460" s="32">
        <v>60.51</v>
      </c>
      <c r="E1460" s="32">
        <v>61</v>
      </c>
      <c r="F1460" s="32" t="s">
        <v>173</v>
      </c>
      <c r="G1460" s="32">
        <v>13.539199999999999</v>
      </c>
      <c r="H1460" s="32">
        <v>3.5392000000000001</v>
      </c>
      <c r="I1460" s="32" t="s">
        <v>174</v>
      </c>
      <c r="J1460" s="32">
        <v>1</v>
      </c>
      <c r="K1460" s="32" t="s">
        <v>183</v>
      </c>
      <c r="L1460" s="18">
        <f t="shared" si="22"/>
        <v>999999999</v>
      </c>
    </row>
    <row r="1461" spans="1:12" ht="15" customHeight="1" x14ac:dyDescent="0.25">
      <c r="A1461" s="32" t="s">
        <v>186</v>
      </c>
      <c r="B1461" s="32" t="s">
        <v>55</v>
      </c>
      <c r="C1461" s="32" t="s">
        <v>154</v>
      </c>
      <c r="D1461" s="32">
        <v>61.01</v>
      </c>
      <c r="E1461" s="32">
        <v>61.5</v>
      </c>
      <c r="F1461" s="32" t="s">
        <v>173</v>
      </c>
      <c r="G1461" s="32">
        <v>13.596</v>
      </c>
      <c r="H1461" s="32">
        <v>7.5960000000000001</v>
      </c>
      <c r="I1461" s="32" t="s">
        <v>174</v>
      </c>
      <c r="J1461" s="32">
        <v>1</v>
      </c>
      <c r="K1461" s="32" t="s">
        <v>183</v>
      </c>
      <c r="L1461" s="18">
        <f t="shared" si="22"/>
        <v>999999999</v>
      </c>
    </row>
    <row r="1462" spans="1:12" ht="15" customHeight="1" x14ac:dyDescent="0.25">
      <c r="A1462" s="32" t="s">
        <v>186</v>
      </c>
      <c r="B1462" s="32" t="s">
        <v>55</v>
      </c>
      <c r="C1462" s="32" t="s">
        <v>154</v>
      </c>
      <c r="D1462" s="32">
        <v>61.51</v>
      </c>
      <c r="E1462" s="32">
        <v>62</v>
      </c>
      <c r="F1462" s="32" t="s">
        <v>173</v>
      </c>
      <c r="G1462" s="32">
        <v>13.652799999999999</v>
      </c>
      <c r="H1462" s="32">
        <v>8.6527999999999992</v>
      </c>
      <c r="I1462" s="32" t="s">
        <v>174</v>
      </c>
      <c r="J1462" s="32">
        <v>1</v>
      </c>
      <c r="K1462" s="32" t="s">
        <v>183</v>
      </c>
      <c r="L1462" s="18">
        <f t="shared" si="22"/>
        <v>999999999</v>
      </c>
    </row>
    <row r="1463" spans="1:12" ht="15" customHeight="1" x14ac:dyDescent="0.25">
      <c r="A1463" s="32" t="s">
        <v>186</v>
      </c>
      <c r="B1463" s="32" t="s">
        <v>55</v>
      </c>
      <c r="C1463" s="32" t="s">
        <v>154</v>
      </c>
      <c r="D1463" s="32">
        <v>62.01</v>
      </c>
      <c r="E1463" s="32">
        <v>62.5</v>
      </c>
      <c r="F1463" s="32" t="s">
        <v>173</v>
      </c>
      <c r="G1463" s="32">
        <v>13.7096</v>
      </c>
      <c r="H1463" s="32">
        <v>8.7096</v>
      </c>
      <c r="I1463" s="32" t="s">
        <v>174</v>
      </c>
      <c r="J1463" s="32">
        <v>1</v>
      </c>
      <c r="K1463" s="32" t="s">
        <v>183</v>
      </c>
      <c r="L1463" s="18">
        <f t="shared" si="22"/>
        <v>999999999</v>
      </c>
    </row>
    <row r="1464" spans="1:12" ht="15" customHeight="1" x14ac:dyDescent="0.25">
      <c r="A1464" s="32" t="s">
        <v>186</v>
      </c>
      <c r="B1464" s="32" t="s">
        <v>55</v>
      </c>
      <c r="C1464" s="32" t="s">
        <v>154</v>
      </c>
      <c r="D1464" s="32">
        <v>62.51</v>
      </c>
      <c r="E1464" s="32">
        <v>63</v>
      </c>
      <c r="F1464" s="32" t="s">
        <v>173</v>
      </c>
      <c r="G1464" s="32">
        <v>13.766400000000001</v>
      </c>
      <c r="H1464" s="32">
        <v>6.7664</v>
      </c>
      <c r="I1464" s="32" t="s">
        <v>174</v>
      </c>
      <c r="J1464" s="32">
        <v>1</v>
      </c>
      <c r="K1464" s="32" t="s">
        <v>183</v>
      </c>
      <c r="L1464" s="18">
        <f t="shared" si="22"/>
        <v>999999999</v>
      </c>
    </row>
    <row r="1465" spans="1:12" ht="15" customHeight="1" x14ac:dyDescent="0.25">
      <c r="A1465" s="32" t="s">
        <v>186</v>
      </c>
      <c r="B1465" s="32" t="s">
        <v>55</v>
      </c>
      <c r="C1465" s="32" t="s">
        <v>154</v>
      </c>
      <c r="D1465" s="32">
        <v>63.01</v>
      </c>
      <c r="E1465" s="32">
        <v>63.5</v>
      </c>
      <c r="F1465" s="32" t="s">
        <v>173</v>
      </c>
      <c r="G1465" s="32">
        <v>13.8232</v>
      </c>
      <c r="H1465" s="32">
        <v>4.8231999999999999</v>
      </c>
      <c r="I1465" s="32" t="s">
        <v>174</v>
      </c>
      <c r="J1465" s="32">
        <v>1</v>
      </c>
      <c r="K1465" s="32" t="s">
        <v>183</v>
      </c>
      <c r="L1465" s="18">
        <f t="shared" si="22"/>
        <v>999999999</v>
      </c>
    </row>
    <row r="1466" spans="1:12" ht="15" customHeight="1" x14ac:dyDescent="0.25">
      <c r="A1466" s="32" t="s">
        <v>186</v>
      </c>
      <c r="B1466" s="32" t="s">
        <v>55</v>
      </c>
      <c r="C1466" s="32" t="s">
        <v>154</v>
      </c>
      <c r="D1466" s="32">
        <v>63.51</v>
      </c>
      <c r="E1466" s="32">
        <v>64</v>
      </c>
      <c r="F1466" s="32" t="s">
        <v>173</v>
      </c>
      <c r="G1466" s="32">
        <v>13.88</v>
      </c>
      <c r="H1466" s="32">
        <v>7.88</v>
      </c>
      <c r="I1466" s="32" t="s">
        <v>174</v>
      </c>
      <c r="J1466" s="32">
        <v>1</v>
      </c>
      <c r="K1466" s="32" t="s">
        <v>183</v>
      </c>
      <c r="L1466" s="18">
        <f t="shared" si="22"/>
        <v>999999999</v>
      </c>
    </row>
    <row r="1467" spans="1:12" ht="15" customHeight="1" x14ac:dyDescent="0.25">
      <c r="A1467" s="32" t="s">
        <v>186</v>
      </c>
      <c r="B1467" s="32" t="s">
        <v>55</v>
      </c>
      <c r="C1467" s="32" t="s">
        <v>154</v>
      </c>
      <c r="D1467" s="32">
        <v>64.010000000000005</v>
      </c>
      <c r="E1467" s="32">
        <v>64.5</v>
      </c>
      <c r="F1467" s="32" t="s">
        <v>173</v>
      </c>
      <c r="G1467" s="32">
        <v>13.9368</v>
      </c>
      <c r="H1467" s="32">
        <v>5.9367999999999999</v>
      </c>
      <c r="I1467" s="32" t="s">
        <v>174</v>
      </c>
      <c r="J1467" s="32">
        <v>1</v>
      </c>
      <c r="K1467" s="32" t="s">
        <v>183</v>
      </c>
      <c r="L1467" s="18">
        <f t="shared" si="22"/>
        <v>999999999</v>
      </c>
    </row>
    <row r="1468" spans="1:12" ht="15" customHeight="1" x14ac:dyDescent="0.25">
      <c r="A1468" s="32" t="s">
        <v>186</v>
      </c>
      <c r="B1468" s="32" t="s">
        <v>55</v>
      </c>
      <c r="C1468" s="32" t="s">
        <v>154</v>
      </c>
      <c r="D1468" s="32">
        <v>64.510000000000005</v>
      </c>
      <c r="E1468" s="32">
        <v>65</v>
      </c>
      <c r="F1468" s="32" t="s">
        <v>173</v>
      </c>
      <c r="G1468" s="32">
        <v>13.993600000000001</v>
      </c>
      <c r="H1468" s="32">
        <v>9.9936000000000007</v>
      </c>
      <c r="I1468" s="32" t="s">
        <v>174</v>
      </c>
      <c r="J1468" s="32">
        <v>1</v>
      </c>
      <c r="K1468" s="32" t="s">
        <v>183</v>
      </c>
      <c r="L1468" s="18">
        <f t="shared" si="22"/>
        <v>999999999</v>
      </c>
    </row>
    <row r="1469" spans="1:12" ht="15" customHeight="1" x14ac:dyDescent="0.25">
      <c r="A1469" s="32" t="s">
        <v>186</v>
      </c>
      <c r="B1469" s="32" t="s">
        <v>55</v>
      </c>
      <c r="C1469" s="32" t="s">
        <v>154</v>
      </c>
      <c r="D1469" s="32">
        <v>65.010000000000005</v>
      </c>
      <c r="E1469" s="32">
        <v>65.5</v>
      </c>
      <c r="F1469" s="32" t="s">
        <v>173</v>
      </c>
      <c r="G1469" s="32">
        <v>15.0504</v>
      </c>
      <c r="H1469" s="32">
        <v>6.0503999999999998</v>
      </c>
      <c r="I1469" s="32" t="s">
        <v>174</v>
      </c>
      <c r="J1469" s="32">
        <v>1</v>
      </c>
      <c r="K1469" s="32" t="s">
        <v>183</v>
      </c>
      <c r="L1469" s="18">
        <f t="shared" si="22"/>
        <v>999999999</v>
      </c>
    </row>
    <row r="1470" spans="1:12" ht="15" customHeight="1" x14ac:dyDescent="0.25">
      <c r="A1470" s="32" t="s">
        <v>186</v>
      </c>
      <c r="B1470" s="32" t="s">
        <v>55</v>
      </c>
      <c r="C1470" s="32" t="s">
        <v>154</v>
      </c>
      <c r="D1470" s="32">
        <v>65.510000000000005</v>
      </c>
      <c r="E1470" s="32">
        <v>66</v>
      </c>
      <c r="F1470" s="32" t="s">
        <v>173</v>
      </c>
      <c r="G1470" s="32">
        <v>15.107200000000001</v>
      </c>
      <c r="H1470" s="32">
        <v>7.1071999999999997</v>
      </c>
      <c r="I1470" s="32" t="s">
        <v>174</v>
      </c>
      <c r="J1470" s="32">
        <v>1</v>
      </c>
      <c r="K1470" s="32" t="s">
        <v>183</v>
      </c>
      <c r="L1470" s="18">
        <f t="shared" si="22"/>
        <v>999999999</v>
      </c>
    </row>
    <row r="1471" spans="1:12" ht="15" customHeight="1" x14ac:dyDescent="0.25">
      <c r="A1471" s="32" t="s">
        <v>186</v>
      </c>
      <c r="B1471" s="32" t="s">
        <v>55</v>
      </c>
      <c r="C1471" s="32" t="s">
        <v>154</v>
      </c>
      <c r="D1471" s="32">
        <v>66.010000000000005</v>
      </c>
      <c r="E1471" s="32">
        <v>66.5</v>
      </c>
      <c r="F1471" s="32" t="s">
        <v>173</v>
      </c>
      <c r="G1471" s="32">
        <v>15.164</v>
      </c>
      <c r="H1471" s="32">
        <v>9.1639999999999997</v>
      </c>
      <c r="I1471" s="32" t="s">
        <v>174</v>
      </c>
      <c r="J1471" s="32">
        <v>1</v>
      </c>
      <c r="K1471" s="32" t="s">
        <v>183</v>
      </c>
      <c r="L1471" s="18">
        <f t="shared" si="22"/>
        <v>999999999</v>
      </c>
    </row>
    <row r="1472" spans="1:12" ht="15" customHeight="1" x14ac:dyDescent="0.25">
      <c r="A1472" s="32" t="s">
        <v>186</v>
      </c>
      <c r="B1472" s="32" t="s">
        <v>55</v>
      </c>
      <c r="C1472" s="32" t="s">
        <v>154</v>
      </c>
      <c r="D1472" s="32">
        <v>66.510000000000005</v>
      </c>
      <c r="E1472" s="32">
        <v>67</v>
      </c>
      <c r="F1472" s="32" t="s">
        <v>173</v>
      </c>
      <c r="G1472" s="32">
        <v>15.220800000000001</v>
      </c>
      <c r="H1472" s="32">
        <v>10.220800000000001</v>
      </c>
      <c r="I1472" s="32" t="s">
        <v>174</v>
      </c>
      <c r="J1472" s="32">
        <v>1</v>
      </c>
      <c r="K1472" s="32" t="s">
        <v>183</v>
      </c>
      <c r="L1472" s="18">
        <f t="shared" si="22"/>
        <v>999999999</v>
      </c>
    </row>
    <row r="1473" spans="1:12" ht="15" customHeight="1" x14ac:dyDescent="0.25">
      <c r="A1473" s="32" t="s">
        <v>186</v>
      </c>
      <c r="B1473" s="32" t="s">
        <v>55</v>
      </c>
      <c r="C1473" s="32" t="s">
        <v>154</v>
      </c>
      <c r="D1473" s="32">
        <v>67.010000000000005</v>
      </c>
      <c r="E1473" s="32">
        <v>67.5</v>
      </c>
      <c r="F1473" s="32" t="s">
        <v>173</v>
      </c>
      <c r="G1473" s="32">
        <v>15.2776</v>
      </c>
      <c r="H1473" s="32">
        <v>10.2776</v>
      </c>
      <c r="I1473" s="32" t="s">
        <v>174</v>
      </c>
      <c r="J1473" s="32">
        <v>1</v>
      </c>
      <c r="K1473" s="32" t="s">
        <v>183</v>
      </c>
      <c r="L1473" s="18">
        <f t="shared" si="22"/>
        <v>999999999</v>
      </c>
    </row>
    <row r="1474" spans="1:12" ht="15" customHeight="1" x14ac:dyDescent="0.25">
      <c r="A1474" s="32" t="s">
        <v>186</v>
      </c>
      <c r="B1474" s="32" t="s">
        <v>55</v>
      </c>
      <c r="C1474" s="32" t="s">
        <v>154</v>
      </c>
      <c r="D1474" s="32">
        <v>67.510000000000005</v>
      </c>
      <c r="E1474" s="32">
        <v>68</v>
      </c>
      <c r="F1474" s="32" t="s">
        <v>173</v>
      </c>
      <c r="G1474" s="32">
        <v>15.3344</v>
      </c>
      <c r="H1474" s="32">
        <v>4.3343999999999996</v>
      </c>
      <c r="I1474" s="32" t="s">
        <v>174</v>
      </c>
      <c r="J1474" s="32">
        <v>1</v>
      </c>
      <c r="K1474" s="32" t="s">
        <v>183</v>
      </c>
      <c r="L1474" s="18">
        <f t="shared" ref="L1474:L1541" si="23">IF(AND(B1474=Quote_Port,D1474&lt;=Quote_Weight,Quote_Weight&lt;=E1474,OR(Quote_2Day="No",J1474&lt;=2)),MAX(G1474,Quote_Weight*H1474)*Quote_USDINR,999999999)</f>
        <v>999999999</v>
      </c>
    </row>
    <row r="1475" spans="1:12" ht="15" customHeight="1" x14ac:dyDescent="0.25">
      <c r="A1475" s="32" t="s">
        <v>186</v>
      </c>
      <c r="B1475" s="32" t="s">
        <v>55</v>
      </c>
      <c r="C1475" s="32" t="s">
        <v>154</v>
      </c>
      <c r="D1475" s="32">
        <v>68.010000000000005</v>
      </c>
      <c r="E1475" s="32">
        <v>68.5</v>
      </c>
      <c r="F1475" s="32" t="s">
        <v>173</v>
      </c>
      <c r="G1475" s="32">
        <v>15.3912</v>
      </c>
      <c r="H1475" s="32">
        <v>6.3912000000000004</v>
      </c>
      <c r="I1475" s="32" t="s">
        <v>174</v>
      </c>
      <c r="J1475" s="32">
        <v>1</v>
      </c>
      <c r="K1475" s="32" t="s">
        <v>183</v>
      </c>
      <c r="L1475" s="18">
        <f t="shared" si="23"/>
        <v>999999999</v>
      </c>
    </row>
    <row r="1476" spans="1:12" ht="15" customHeight="1" x14ac:dyDescent="0.25">
      <c r="A1476" s="32" t="s">
        <v>186</v>
      </c>
      <c r="B1476" s="32" t="s">
        <v>55</v>
      </c>
      <c r="C1476" s="32" t="s">
        <v>154</v>
      </c>
      <c r="D1476" s="32">
        <v>68.510000000000005</v>
      </c>
      <c r="E1476" s="32">
        <v>69</v>
      </c>
      <c r="F1476" s="32" t="s">
        <v>173</v>
      </c>
      <c r="G1476" s="32">
        <v>15.448</v>
      </c>
      <c r="H1476" s="32">
        <v>10.448</v>
      </c>
      <c r="I1476" s="32" t="s">
        <v>174</v>
      </c>
      <c r="J1476" s="32">
        <v>1</v>
      </c>
      <c r="K1476" s="32" t="s">
        <v>183</v>
      </c>
      <c r="L1476" s="18">
        <f t="shared" si="23"/>
        <v>999999999</v>
      </c>
    </row>
    <row r="1477" spans="1:12" ht="15" customHeight="1" x14ac:dyDescent="0.25">
      <c r="A1477" s="32" t="s">
        <v>186</v>
      </c>
      <c r="B1477" s="32" t="s">
        <v>55</v>
      </c>
      <c r="C1477" s="32" t="s">
        <v>154</v>
      </c>
      <c r="D1477" s="32">
        <v>69.010000000000005</v>
      </c>
      <c r="E1477" s="32">
        <v>69.5</v>
      </c>
      <c r="F1477" s="32" t="s">
        <v>173</v>
      </c>
      <c r="G1477" s="32">
        <v>15.504799999999999</v>
      </c>
      <c r="H1477" s="32">
        <v>9.5047999999999995</v>
      </c>
      <c r="I1477" s="32" t="s">
        <v>174</v>
      </c>
      <c r="J1477" s="32">
        <v>1</v>
      </c>
      <c r="K1477" s="32" t="s">
        <v>183</v>
      </c>
      <c r="L1477" s="18">
        <f t="shared" si="23"/>
        <v>999999999</v>
      </c>
    </row>
    <row r="1478" spans="1:12" ht="15" customHeight="1" x14ac:dyDescent="0.25">
      <c r="A1478" s="32" t="s">
        <v>186</v>
      </c>
      <c r="B1478" s="32" t="s">
        <v>55</v>
      </c>
      <c r="C1478" s="32" t="s">
        <v>154</v>
      </c>
      <c r="D1478" s="32">
        <v>69.510000000000005</v>
      </c>
      <c r="E1478" s="32">
        <v>70</v>
      </c>
      <c r="F1478" s="32" t="s">
        <v>173</v>
      </c>
      <c r="G1478" s="32">
        <v>15.5616</v>
      </c>
      <c r="H1478" s="32">
        <v>10.5616</v>
      </c>
      <c r="I1478" s="32" t="s">
        <v>174</v>
      </c>
      <c r="J1478" s="32">
        <v>1</v>
      </c>
      <c r="K1478" s="32" t="s">
        <v>183</v>
      </c>
      <c r="L1478" s="18">
        <f t="shared" si="23"/>
        <v>999999999</v>
      </c>
    </row>
    <row r="1479" spans="1:12" ht="15" customHeight="1" x14ac:dyDescent="0.25">
      <c r="A1479" s="32" t="s">
        <v>186</v>
      </c>
      <c r="B1479" s="32" t="s">
        <v>55</v>
      </c>
      <c r="C1479" s="32" t="s">
        <v>154</v>
      </c>
      <c r="D1479" s="32">
        <v>70.010000000000005</v>
      </c>
      <c r="E1479" s="32">
        <v>70.5</v>
      </c>
      <c r="F1479" s="32" t="s">
        <v>173</v>
      </c>
      <c r="G1479" s="32">
        <v>15.618399999999999</v>
      </c>
      <c r="H1479" s="32">
        <v>8.6183999999999994</v>
      </c>
      <c r="I1479" s="32" t="s">
        <v>174</v>
      </c>
      <c r="J1479" s="32">
        <v>1</v>
      </c>
      <c r="K1479" s="32" t="s">
        <v>183</v>
      </c>
      <c r="L1479" s="18">
        <f t="shared" si="23"/>
        <v>999999999</v>
      </c>
    </row>
    <row r="1480" spans="1:12" ht="15" customHeight="1" x14ac:dyDescent="0.25">
      <c r="A1480" s="32" t="s">
        <v>186</v>
      </c>
      <c r="B1480" s="32" t="s">
        <v>55</v>
      </c>
      <c r="C1480" s="32" t="s">
        <v>154</v>
      </c>
      <c r="D1480" s="32">
        <v>70.510000000000005</v>
      </c>
      <c r="E1480" s="32">
        <v>71</v>
      </c>
      <c r="F1480" s="32" t="s">
        <v>173</v>
      </c>
      <c r="G1480" s="32">
        <v>15.6752</v>
      </c>
      <c r="H1480" s="32">
        <v>4.6752000000000002</v>
      </c>
      <c r="I1480" s="32" t="s">
        <v>174</v>
      </c>
      <c r="J1480" s="32">
        <v>1</v>
      </c>
      <c r="K1480" s="32" t="s">
        <v>183</v>
      </c>
      <c r="L1480" s="18">
        <f t="shared" si="23"/>
        <v>999999999</v>
      </c>
    </row>
    <row r="1481" spans="1:12" ht="15" customHeight="1" x14ac:dyDescent="0.25">
      <c r="A1481" s="32" t="s">
        <v>186</v>
      </c>
      <c r="B1481" s="32" t="s">
        <v>55</v>
      </c>
      <c r="C1481" s="32" t="s">
        <v>154</v>
      </c>
      <c r="D1481" s="32">
        <v>71.010000000000005</v>
      </c>
      <c r="E1481" s="32">
        <v>71.5</v>
      </c>
      <c r="F1481" s="32" t="s">
        <v>173</v>
      </c>
      <c r="G1481" s="32">
        <v>15.731999999999999</v>
      </c>
      <c r="H1481" s="32">
        <v>6.7320000000000002</v>
      </c>
      <c r="I1481" s="32" t="s">
        <v>174</v>
      </c>
      <c r="J1481" s="32">
        <v>1</v>
      </c>
      <c r="K1481" s="32" t="s">
        <v>183</v>
      </c>
      <c r="L1481" s="18">
        <f t="shared" si="23"/>
        <v>999999999</v>
      </c>
    </row>
    <row r="1482" spans="1:12" ht="15" customHeight="1" x14ac:dyDescent="0.25">
      <c r="A1482" s="32" t="s">
        <v>186</v>
      </c>
      <c r="B1482" s="32" t="s">
        <v>55</v>
      </c>
      <c r="C1482" s="32" t="s">
        <v>154</v>
      </c>
      <c r="D1482" s="32">
        <v>71.510000000000005</v>
      </c>
      <c r="E1482" s="32">
        <v>72</v>
      </c>
      <c r="F1482" s="32" t="s">
        <v>173</v>
      </c>
      <c r="G1482" s="32">
        <v>15.7888</v>
      </c>
      <c r="H1482" s="32">
        <v>4.7888000000000002</v>
      </c>
      <c r="I1482" s="32" t="s">
        <v>174</v>
      </c>
      <c r="J1482" s="32">
        <v>1</v>
      </c>
      <c r="K1482" s="32" t="s">
        <v>183</v>
      </c>
      <c r="L1482" s="18">
        <f t="shared" si="23"/>
        <v>999999999</v>
      </c>
    </row>
    <row r="1483" spans="1:12" ht="15" customHeight="1" x14ac:dyDescent="0.25">
      <c r="A1483" s="32" t="s">
        <v>186</v>
      </c>
      <c r="B1483" s="32" t="s">
        <v>55</v>
      </c>
      <c r="C1483" s="32" t="s">
        <v>154</v>
      </c>
      <c r="D1483" s="32">
        <v>72.010000000000005</v>
      </c>
      <c r="E1483" s="32">
        <v>72.5</v>
      </c>
      <c r="F1483" s="32" t="s">
        <v>173</v>
      </c>
      <c r="G1483" s="32">
        <v>15.845599999999999</v>
      </c>
      <c r="H1483" s="32">
        <v>10.845599999999999</v>
      </c>
      <c r="I1483" s="32" t="s">
        <v>174</v>
      </c>
      <c r="J1483" s="32">
        <v>1</v>
      </c>
      <c r="K1483" s="32" t="s">
        <v>183</v>
      </c>
      <c r="L1483" s="18">
        <f t="shared" si="23"/>
        <v>999999999</v>
      </c>
    </row>
    <row r="1484" spans="1:12" ht="15" customHeight="1" x14ac:dyDescent="0.25">
      <c r="A1484" s="32" t="s">
        <v>186</v>
      </c>
      <c r="B1484" s="32" t="s">
        <v>55</v>
      </c>
      <c r="C1484" s="32" t="s">
        <v>154</v>
      </c>
      <c r="D1484" s="32">
        <v>72.510000000000005</v>
      </c>
      <c r="E1484" s="32">
        <v>73</v>
      </c>
      <c r="F1484" s="32" t="s">
        <v>173</v>
      </c>
      <c r="G1484" s="32">
        <v>15.9024</v>
      </c>
      <c r="H1484" s="32">
        <v>9.9024000000000001</v>
      </c>
      <c r="I1484" s="32" t="s">
        <v>174</v>
      </c>
      <c r="J1484" s="32">
        <v>1</v>
      </c>
      <c r="K1484" s="32" t="s">
        <v>183</v>
      </c>
      <c r="L1484" s="18">
        <f t="shared" si="23"/>
        <v>999999999</v>
      </c>
    </row>
    <row r="1485" spans="1:12" ht="15" customHeight="1" x14ac:dyDescent="0.25">
      <c r="A1485" s="32" t="s">
        <v>186</v>
      </c>
      <c r="B1485" s="32" t="s">
        <v>55</v>
      </c>
      <c r="C1485" s="32" t="s">
        <v>154</v>
      </c>
      <c r="D1485" s="32">
        <v>73.010000000000005</v>
      </c>
      <c r="E1485" s="32">
        <v>73.5</v>
      </c>
      <c r="F1485" s="32" t="s">
        <v>173</v>
      </c>
      <c r="G1485" s="32">
        <v>15.959199999999999</v>
      </c>
      <c r="H1485" s="32">
        <v>5.9592000000000001</v>
      </c>
      <c r="I1485" s="32" t="s">
        <v>174</v>
      </c>
      <c r="J1485" s="32">
        <v>1</v>
      </c>
      <c r="K1485" s="32" t="s">
        <v>183</v>
      </c>
      <c r="L1485" s="18">
        <f t="shared" si="23"/>
        <v>999999999</v>
      </c>
    </row>
    <row r="1486" spans="1:12" ht="15" customHeight="1" x14ac:dyDescent="0.25">
      <c r="A1486" s="32" t="s">
        <v>186</v>
      </c>
      <c r="B1486" s="32" t="s">
        <v>55</v>
      </c>
      <c r="C1486" s="32" t="s">
        <v>154</v>
      </c>
      <c r="D1486" s="32">
        <v>73.510000000000005</v>
      </c>
      <c r="E1486" s="32">
        <v>74</v>
      </c>
      <c r="F1486" s="32" t="s">
        <v>173</v>
      </c>
      <c r="G1486" s="32">
        <v>17.015999999999998</v>
      </c>
      <c r="H1486" s="32">
        <v>11.016</v>
      </c>
      <c r="I1486" s="32" t="s">
        <v>174</v>
      </c>
      <c r="J1486" s="32">
        <v>1</v>
      </c>
      <c r="K1486" s="32" t="s">
        <v>183</v>
      </c>
      <c r="L1486" s="18">
        <f t="shared" si="23"/>
        <v>999999999</v>
      </c>
    </row>
    <row r="1487" spans="1:12" ht="15" customHeight="1" x14ac:dyDescent="0.25">
      <c r="A1487" s="32" t="s">
        <v>186</v>
      </c>
      <c r="B1487" s="32" t="s">
        <v>55</v>
      </c>
      <c r="C1487" s="32" t="s">
        <v>154</v>
      </c>
      <c r="D1487" s="32">
        <v>74.010000000000005</v>
      </c>
      <c r="E1487" s="32">
        <v>74.5</v>
      </c>
      <c r="F1487" s="32" t="s">
        <v>173</v>
      </c>
      <c r="G1487" s="32">
        <v>17.072800000000001</v>
      </c>
      <c r="H1487" s="32">
        <v>12.072800000000001</v>
      </c>
      <c r="I1487" s="32" t="s">
        <v>174</v>
      </c>
      <c r="J1487" s="32">
        <v>1</v>
      </c>
      <c r="K1487" s="32" t="s">
        <v>183</v>
      </c>
      <c r="L1487" s="18">
        <f t="shared" si="23"/>
        <v>999999999</v>
      </c>
    </row>
    <row r="1488" spans="1:12" ht="15" customHeight="1" x14ac:dyDescent="0.25">
      <c r="A1488" s="32" t="s">
        <v>186</v>
      </c>
      <c r="B1488" s="32" t="s">
        <v>55</v>
      </c>
      <c r="C1488" s="32" t="s">
        <v>154</v>
      </c>
      <c r="D1488" s="32">
        <v>74.510000000000005</v>
      </c>
      <c r="E1488" s="32">
        <v>75</v>
      </c>
      <c r="F1488" s="32" t="s">
        <v>173</v>
      </c>
      <c r="G1488" s="32">
        <v>17.1296</v>
      </c>
      <c r="H1488" s="32">
        <v>10.1296</v>
      </c>
      <c r="I1488" s="32" t="s">
        <v>174</v>
      </c>
      <c r="J1488" s="32">
        <v>1</v>
      </c>
      <c r="K1488" s="32" t="s">
        <v>183</v>
      </c>
      <c r="L1488" s="18">
        <f t="shared" si="23"/>
        <v>999999999</v>
      </c>
    </row>
    <row r="1489" spans="1:12" ht="15" customHeight="1" x14ac:dyDescent="0.25">
      <c r="A1489" s="32" t="s">
        <v>186</v>
      </c>
      <c r="B1489" s="32" t="s">
        <v>55</v>
      </c>
      <c r="C1489" s="32" t="s">
        <v>154</v>
      </c>
      <c r="D1489" s="32">
        <v>75.010000000000005</v>
      </c>
      <c r="E1489" s="32">
        <v>99999.99</v>
      </c>
      <c r="F1489" s="32" t="s">
        <v>173</v>
      </c>
      <c r="G1489" s="32">
        <v>17.1812</v>
      </c>
      <c r="H1489" s="32">
        <v>0.13519999999999999</v>
      </c>
      <c r="I1489" s="32" t="s">
        <v>174</v>
      </c>
      <c r="J1489" s="32">
        <v>1</v>
      </c>
      <c r="K1489" s="32" t="s">
        <v>183</v>
      </c>
      <c r="L1489" s="18">
        <f t="shared" si="23"/>
        <v>999999999</v>
      </c>
    </row>
    <row r="1490" spans="1:12" ht="15" customHeight="1" x14ac:dyDescent="0.25">
      <c r="A1490" s="32" t="s">
        <v>185</v>
      </c>
      <c r="B1490" s="32" t="s">
        <v>70</v>
      </c>
      <c r="C1490" s="32" t="s">
        <v>154</v>
      </c>
      <c r="D1490" s="32">
        <v>0</v>
      </c>
      <c r="E1490" s="32">
        <v>5000</v>
      </c>
      <c r="F1490" s="32" t="s">
        <v>173</v>
      </c>
      <c r="G1490" s="32">
        <v>25.4236</v>
      </c>
      <c r="H1490" s="32">
        <v>6.4236000000000004</v>
      </c>
      <c r="I1490" s="32" t="s">
        <v>188</v>
      </c>
      <c r="J1490" s="32">
        <v>1</v>
      </c>
      <c r="K1490" s="32" t="s">
        <v>175</v>
      </c>
      <c r="L1490" s="18">
        <f t="shared" si="23"/>
        <v>999999999</v>
      </c>
    </row>
    <row r="1491" spans="1:12" ht="15" customHeight="1" x14ac:dyDescent="0.25">
      <c r="A1491" s="32" t="s">
        <v>185</v>
      </c>
      <c r="B1491" s="32" t="s">
        <v>70</v>
      </c>
      <c r="C1491" s="32" t="s">
        <v>154</v>
      </c>
      <c r="D1491" s="32">
        <v>0</v>
      </c>
      <c r="E1491" s="32">
        <v>5000</v>
      </c>
      <c r="F1491" s="32" t="s">
        <v>173</v>
      </c>
      <c r="G1491" s="32">
        <v>27.202400000000001</v>
      </c>
      <c r="H1491" s="32">
        <v>15.202400000000001</v>
      </c>
      <c r="I1491" s="32" t="s">
        <v>188</v>
      </c>
      <c r="J1491" s="32">
        <v>1</v>
      </c>
      <c r="K1491" s="32" t="s">
        <v>175</v>
      </c>
      <c r="L1491" s="18">
        <f t="shared" si="23"/>
        <v>999999999</v>
      </c>
    </row>
    <row r="1492" spans="1:12" ht="15" customHeight="1" x14ac:dyDescent="0.25">
      <c r="A1492" s="32" t="s">
        <v>185</v>
      </c>
      <c r="B1492" s="32" t="s">
        <v>70</v>
      </c>
      <c r="C1492" s="32" t="s">
        <v>154</v>
      </c>
      <c r="D1492" s="32">
        <v>0</v>
      </c>
      <c r="E1492" s="32">
        <v>5000</v>
      </c>
      <c r="F1492" s="32" t="s">
        <v>173</v>
      </c>
      <c r="G1492" s="32">
        <v>25.4236</v>
      </c>
      <c r="H1492" s="32">
        <v>11.4236</v>
      </c>
      <c r="I1492" s="32" t="s">
        <v>188</v>
      </c>
      <c r="J1492" s="32">
        <v>1</v>
      </c>
      <c r="K1492" s="32" t="s">
        <v>175</v>
      </c>
      <c r="L1492" s="18">
        <f t="shared" si="23"/>
        <v>999999999</v>
      </c>
    </row>
    <row r="1493" spans="1:12" ht="15" customHeight="1" x14ac:dyDescent="0.25">
      <c r="A1493" s="32" t="s">
        <v>185</v>
      </c>
      <c r="B1493" s="32" t="s">
        <v>70</v>
      </c>
      <c r="C1493" s="32" t="s">
        <v>154</v>
      </c>
      <c r="D1493" s="32">
        <v>0</v>
      </c>
      <c r="E1493" s="32">
        <v>5000</v>
      </c>
      <c r="F1493" s="32" t="s">
        <v>173</v>
      </c>
      <c r="G1493" s="32">
        <v>27.202400000000001</v>
      </c>
      <c r="H1493" s="32">
        <v>10.202400000000001</v>
      </c>
      <c r="I1493" s="32" t="s">
        <v>188</v>
      </c>
      <c r="J1493" s="32">
        <v>1</v>
      </c>
      <c r="K1493" s="32" t="s">
        <v>175</v>
      </c>
      <c r="L1493" s="18">
        <f t="shared" si="23"/>
        <v>999999999</v>
      </c>
    </row>
    <row r="1494" spans="1:12" ht="15" customHeight="1" x14ac:dyDescent="0.25">
      <c r="A1494" s="32" t="s">
        <v>185</v>
      </c>
      <c r="B1494" s="32" t="s">
        <v>70</v>
      </c>
      <c r="C1494" s="32" t="s">
        <v>154</v>
      </c>
      <c r="D1494" s="32">
        <v>0</v>
      </c>
      <c r="E1494" s="32">
        <v>5000</v>
      </c>
      <c r="F1494" s="32" t="s">
        <v>173</v>
      </c>
      <c r="G1494" s="32">
        <v>27.202400000000001</v>
      </c>
      <c r="H1494" s="32">
        <v>9.2024000000000008</v>
      </c>
      <c r="I1494" s="32" t="s">
        <v>188</v>
      </c>
      <c r="J1494" s="32">
        <v>1</v>
      </c>
      <c r="K1494" s="32" t="s">
        <v>175</v>
      </c>
      <c r="L1494" s="18">
        <f t="shared" si="23"/>
        <v>999999999</v>
      </c>
    </row>
    <row r="1495" spans="1:12" ht="15" customHeight="1" x14ac:dyDescent="0.25">
      <c r="A1495" s="32" t="s">
        <v>185</v>
      </c>
      <c r="B1495" s="32" t="s">
        <v>70</v>
      </c>
      <c r="C1495" s="32" t="s">
        <v>154</v>
      </c>
      <c r="D1495" s="32">
        <v>0</v>
      </c>
      <c r="E1495" s="32">
        <v>5000</v>
      </c>
      <c r="F1495" s="32" t="s">
        <v>173</v>
      </c>
      <c r="G1495" s="32">
        <v>33.3172</v>
      </c>
      <c r="H1495" s="32">
        <v>16.3172</v>
      </c>
      <c r="I1495" s="32" t="s">
        <v>188</v>
      </c>
      <c r="J1495" s="32">
        <v>1</v>
      </c>
      <c r="K1495" s="32" t="s">
        <v>175</v>
      </c>
      <c r="L1495" s="18">
        <f t="shared" si="23"/>
        <v>999999999</v>
      </c>
    </row>
    <row r="1496" spans="1:12" ht="15" customHeight="1" x14ac:dyDescent="0.25">
      <c r="A1496" s="32" t="s">
        <v>185</v>
      </c>
      <c r="B1496" s="32" t="s">
        <v>70</v>
      </c>
      <c r="C1496" s="32" t="s">
        <v>154</v>
      </c>
      <c r="D1496" s="32">
        <v>0</v>
      </c>
      <c r="E1496" s="32">
        <v>5000</v>
      </c>
      <c r="F1496" s="32" t="s">
        <v>173</v>
      </c>
      <c r="G1496" s="32">
        <v>27.202400000000001</v>
      </c>
      <c r="H1496" s="32">
        <v>9.2024000000000008</v>
      </c>
      <c r="I1496" s="32" t="s">
        <v>188</v>
      </c>
      <c r="J1496" s="32">
        <v>1</v>
      </c>
      <c r="K1496" s="32" t="s">
        <v>175</v>
      </c>
      <c r="L1496" s="18">
        <f t="shared" si="23"/>
        <v>999999999</v>
      </c>
    </row>
    <row r="1497" spans="1:12" ht="15" customHeight="1" x14ac:dyDescent="0.25">
      <c r="A1497" s="32" t="s">
        <v>185</v>
      </c>
      <c r="B1497" s="32" t="s">
        <v>70</v>
      </c>
      <c r="C1497" s="32" t="s">
        <v>154</v>
      </c>
      <c r="D1497" s="32">
        <v>0</v>
      </c>
      <c r="E1497" s="32">
        <v>5000</v>
      </c>
      <c r="F1497" s="32" t="s">
        <v>173</v>
      </c>
      <c r="G1497" s="32">
        <v>33.3172</v>
      </c>
      <c r="H1497" s="32">
        <v>20.3172</v>
      </c>
      <c r="I1497" s="32" t="s">
        <v>188</v>
      </c>
      <c r="J1497" s="32">
        <v>1</v>
      </c>
      <c r="K1497" s="32" t="s">
        <v>175</v>
      </c>
      <c r="L1497" s="18">
        <f t="shared" si="23"/>
        <v>999999999</v>
      </c>
    </row>
    <row r="1498" spans="1:12" ht="15" customHeight="1" x14ac:dyDescent="0.25">
      <c r="A1498" s="32" t="s">
        <v>185</v>
      </c>
      <c r="B1498" s="32" t="s">
        <v>70</v>
      </c>
      <c r="C1498" s="32" t="s">
        <v>154</v>
      </c>
      <c r="D1498" s="32">
        <v>0</v>
      </c>
      <c r="E1498" s="32">
        <v>5000</v>
      </c>
      <c r="F1498" s="32" t="s">
        <v>173</v>
      </c>
      <c r="G1498" s="32">
        <v>33.3172</v>
      </c>
      <c r="H1498" s="32">
        <v>13.3172</v>
      </c>
      <c r="I1498" s="32" t="s">
        <v>188</v>
      </c>
      <c r="J1498" s="32">
        <v>1</v>
      </c>
      <c r="K1498" s="32" t="s">
        <v>175</v>
      </c>
      <c r="L1498" s="18">
        <f t="shared" si="23"/>
        <v>999999999</v>
      </c>
    </row>
    <row r="1499" spans="1:12" ht="15" customHeight="1" x14ac:dyDescent="0.25">
      <c r="A1499" s="32" t="s">
        <v>185</v>
      </c>
      <c r="B1499" s="32" t="s">
        <v>70</v>
      </c>
      <c r="C1499" s="32" t="s">
        <v>154</v>
      </c>
      <c r="D1499" s="32">
        <v>0</v>
      </c>
      <c r="E1499" s="32">
        <v>5000</v>
      </c>
      <c r="F1499" s="32" t="s">
        <v>173</v>
      </c>
      <c r="G1499" s="32">
        <v>27.202400000000001</v>
      </c>
      <c r="H1499" s="32">
        <v>18.202400000000001</v>
      </c>
      <c r="I1499" s="32" t="s">
        <v>188</v>
      </c>
      <c r="J1499" s="32">
        <v>1</v>
      </c>
      <c r="K1499" s="32" t="s">
        <v>175</v>
      </c>
      <c r="L1499" s="18">
        <f t="shared" si="23"/>
        <v>999999999</v>
      </c>
    </row>
    <row r="1500" spans="1:12" ht="15" customHeight="1" x14ac:dyDescent="0.25">
      <c r="A1500" s="32" t="s">
        <v>185</v>
      </c>
      <c r="B1500" s="32" t="s">
        <v>70</v>
      </c>
      <c r="C1500" s="32" t="s">
        <v>154</v>
      </c>
      <c r="D1500" s="32">
        <v>0</v>
      </c>
      <c r="E1500" s="32">
        <v>5000</v>
      </c>
      <c r="F1500" s="32" t="s">
        <v>173</v>
      </c>
      <c r="G1500" s="32">
        <v>27.202400000000001</v>
      </c>
      <c r="H1500" s="32">
        <v>16.202400000000001</v>
      </c>
      <c r="I1500" s="32" t="s">
        <v>188</v>
      </c>
      <c r="J1500" s="32">
        <v>1</v>
      </c>
      <c r="K1500" s="32" t="s">
        <v>175</v>
      </c>
      <c r="L1500" s="18">
        <f t="shared" si="23"/>
        <v>999999999</v>
      </c>
    </row>
    <row r="1501" spans="1:12" ht="15" customHeight="1" x14ac:dyDescent="0.25">
      <c r="A1501" s="32" t="s">
        <v>185</v>
      </c>
      <c r="B1501" s="32" t="s">
        <v>70</v>
      </c>
      <c r="C1501" s="32" t="s">
        <v>154</v>
      </c>
      <c r="D1501" s="32">
        <v>0</v>
      </c>
      <c r="E1501" s="32">
        <v>5000</v>
      </c>
      <c r="F1501" s="32" t="s">
        <v>173</v>
      </c>
      <c r="G1501" s="32">
        <v>33.3172</v>
      </c>
      <c r="H1501" s="32">
        <v>17.3172</v>
      </c>
      <c r="I1501" s="32" t="s">
        <v>188</v>
      </c>
      <c r="J1501" s="32">
        <v>1</v>
      </c>
      <c r="K1501" s="32" t="s">
        <v>175</v>
      </c>
      <c r="L1501" s="18">
        <f t="shared" si="23"/>
        <v>999999999</v>
      </c>
    </row>
    <row r="1502" spans="1:12" ht="15" customHeight="1" x14ac:dyDescent="0.25">
      <c r="A1502" s="32" t="s">
        <v>184</v>
      </c>
      <c r="B1502" s="32" t="s">
        <v>70</v>
      </c>
      <c r="C1502" s="32" t="s">
        <v>154</v>
      </c>
      <c r="D1502" s="32">
        <v>0</v>
      </c>
      <c r="E1502" s="32">
        <v>5000</v>
      </c>
      <c r="F1502" s="32" t="s">
        <v>173</v>
      </c>
      <c r="G1502" s="32">
        <v>27.202400000000001</v>
      </c>
      <c r="H1502" s="32">
        <v>16.202400000000001</v>
      </c>
      <c r="I1502" s="32" t="s">
        <v>188</v>
      </c>
      <c r="J1502" s="32">
        <v>1</v>
      </c>
      <c r="K1502" s="32" t="s">
        <v>175</v>
      </c>
      <c r="L1502" s="18">
        <f t="shared" si="23"/>
        <v>999999999</v>
      </c>
    </row>
    <row r="1503" spans="1:12" ht="15" customHeight="1" x14ac:dyDescent="0.25">
      <c r="A1503" s="32" t="s">
        <v>184</v>
      </c>
      <c r="B1503" s="32" t="s">
        <v>70</v>
      </c>
      <c r="C1503" s="32" t="s">
        <v>154</v>
      </c>
      <c r="D1503" s="32">
        <v>0</v>
      </c>
      <c r="E1503" s="32">
        <v>5000</v>
      </c>
      <c r="F1503" s="32" t="s">
        <v>173</v>
      </c>
      <c r="G1503" s="32">
        <v>27.202400000000001</v>
      </c>
      <c r="H1503" s="32">
        <v>9.2024000000000008</v>
      </c>
      <c r="I1503" s="32" t="s">
        <v>188</v>
      </c>
      <c r="J1503" s="32">
        <v>1</v>
      </c>
      <c r="K1503" s="32" t="s">
        <v>175</v>
      </c>
      <c r="L1503" s="18">
        <f t="shared" si="23"/>
        <v>999999999</v>
      </c>
    </row>
    <row r="1504" spans="1:12" ht="15" customHeight="1" x14ac:dyDescent="0.25">
      <c r="A1504" s="32" t="s">
        <v>184</v>
      </c>
      <c r="B1504" s="32" t="s">
        <v>70</v>
      </c>
      <c r="C1504" s="32" t="s">
        <v>154</v>
      </c>
      <c r="D1504" s="32">
        <v>0</v>
      </c>
      <c r="E1504" s="32">
        <v>5000</v>
      </c>
      <c r="F1504" s="32" t="s">
        <v>173</v>
      </c>
      <c r="G1504" s="32">
        <v>25.4236</v>
      </c>
      <c r="H1504" s="32">
        <v>16.4236</v>
      </c>
      <c r="I1504" s="32" t="s">
        <v>188</v>
      </c>
      <c r="J1504" s="32">
        <v>1</v>
      </c>
      <c r="K1504" s="32" t="s">
        <v>175</v>
      </c>
      <c r="L1504" s="18">
        <f t="shared" si="23"/>
        <v>999999999</v>
      </c>
    </row>
    <row r="1505" spans="1:12" ht="15" customHeight="1" x14ac:dyDescent="0.25">
      <c r="A1505" s="32" t="s">
        <v>184</v>
      </c>
      <c r="B1505" s="32" t="s">
        <v>70</v>
      </c>
      <c r="C1505" s="32" t="s">
        <v>154</v>
      </c>
      <c r="D1505" s="32">
        <v>0</v>
      </c>
      <c r="E1505" s="32">
        <v>5000</v>
      </c>
      <c r="F1505" s="32" t="s">
        <v>173</v>
      </c>
      <c r="G1505" s="32">
        <v>25.4236</v>
      </c>
      <c r="H1505" s="32">
        <v>15.4236</v>
      </c>
      <c r="I1505" s="32" t="s">
        <v>188</v>
      </c>
      <c r="J1505" s="32">
        <v>1</v>
      </c>
      <c r="K1505" s="32" t="s">
        <v>175</v>
      </c>
      <c r="L1505" s="18">
        <f t="shared" si="23"/>
        <v>999999999</v>
      </c>
    </row>
    <row r="1506" spans="1:12" ht="15" customHeight="1" x14ac:dyDescent="0.25">
      <c r="A1506" s="32" t="s">
        <v>184</v>
      </c>
      <c r="B1506" s="32" t="s">
        <v>70</v>
      </c>
      <c r="C1506" s="32" t="s">
        <v>154</v>
      </c>
      <c r="D1506" s="32">
        <v>0</v>
      </c>
      <c r="E1506" s="32">
        <v>5000</v>
      </c>
      <c r="F1506" s="32" t="s">
        <v>173</v>
      </c>
      <c r="G1506" s="32">
        <v>27.202400000000001</v>
      </c>
      <c r="H1506" s="32">
        <v>13.202400000000001</v>
      </c>
      <c r="I1506" s="32" t="s">
        <v>188</v>
      </c>
      <c r="J1506" s="32">
        <v>1</v>
      </c>
      <c r="K1506" s="32" t="s">
        <v>175</v>
      </c>
      <c r="L1506" s="18">
        <f t="shared" si="23"/>
        <v>999999999</v>
      </c>
    </row>
    <row r="1507" spans="1:12" ht="15" customHeight="1" x14ac:dyDescent="0.25">
      <c r="A1507" s="32" t="s">
        <v>184</v>
      </c>
      <c r="B1507" s="32" t="s">
        <v>70</v>
      </c>
      <c r="C1507" s="32" t="s">
        <v>154</v>
      </c>
      <c r="D1507" s="32">
        <v>0</v>
      </c>
      <c r="E1507" s="32">
        <v>5000</v>
      </c>
      <c r="F1507" s="32" t="s">
        <v>173</v>
      </c>
      <c r="G1507" s="32">
        <v>27.202400000000001</v>
      </c>
      <c r="H1507" s="32">
        <v>13.202400000000001</v>
      </c>
      <c r="I1507" s="32" t="s">
        <v>188</v>
      </c>
      <c r="J1507" s="32">
        <v>1</v>
      </c>
      <c r="K1507" s="32" t="s">
        <v>175</v>
      </c>
      <c r="L1507" s="18">
        <f t="shared" si="23"/>
        <v>999999999</v>
      </c>
    </row>
    <row r="1508" spans="1:12" ht="15" customHeight="1" x14ac:dyDescent="0.25">
      <c r="A1508" s="32" t="s">
        <v>184</v>
      </c>
      <c r="B1508" s="32" t="s">
        <v>70</v>
      </c>
      <c r="C1508" s="32" t="s">
        <v>154</v>
      </c>
      <c r="D1508" s="32">
        <v>0</v>
      </c>
      <c r="E1508" s="32">
        <v>5000</v>
      </c>
      <c r="F1508" s="32" t="s">
        <v>173</v>
      </c>
      <c r="G1508" s="32">
        <v>33.3172</v>
      </c>
      <c r="H1508" s="32">
        <v>8.3171999999999997</v>
      </c>
      <c r="I1508" s="32" t="s">
        <v>188</v>
      </c>
      <c r="J1508" s="32">
        <v>1</v>
      </c>
      <c r="K1508" s="32" t="s">
        <v>175</v>
      </c>
      <c r="L1508" s="18">
        <f t="shared" si="23"/>
        <v>999999999</v>
      </c>
    </row>
    <row r="1509" spans="1:12" ht="15" customHeight="1" x14ac:dyDescent="0.25">
      <c r="A1509" s="32" t="s">
        <v>184</v>
      </c>
      <c r="B1509" s="32" t="s">
        <v>70</v>
      </c>
      <c r="C1509" s="32" t="s">
        <v>154</v>
      </c>
      <c r="D1509" s="32">
        <v>0</v>
      </c>
      <c r="E1509" s="32">
        <v>5000</v>
      </c>
      <c r="F1509" s="32" t="s">
        <v>173</v>
      </c>
      <c r="G1509" s="32">
        <v>33.3172</v>
      </c>
      <c r="H1509" s="32">
        <v>17.3172</v>
      </c>
      <c r="I1509" s="32" t="s">
        <v>188</v>
      </c>
      <c r="J1509" s="32">
        <v>1</v>
      </c>
      <c r="K1509" s="32" t="s">
        <v>175</v>
      </c>
      <c r="L1509" s="18">
        <f t="shared" si="23"/>
        <v>999999999</v>
      </c>
    </row>
    <row r="1510" spans="1:12" ht="15" customHeight="1" x14ac:dyDescent="0.25">
      <c r="A1510" s="32" t="s">
        <v>184</v>
      </c>
      <c r="B1510" s="32" t="s">
        <v>70</v>
      </c>
      <c r="C1510" s="32" t="s">
        <v>154</v>
      </c>
      <c r="D1510" s="32">
        <v>0</v>
      </c>
      <c r="E1510" s="32">
        <v>5000</v>
      </c>
      <c r="F1510" s="32" t="s">
        <v>173</v>
      </c>
      <c r="G1510" s="32">
        <v>33.3172</v>
      </c>
      <c r="H1510" s="32">
        <v>12.3172</v>
      </c>
      <c r="I1510" s="32" t="s">
        <v>188</v>
      </c>
      <c r="J1510" s="32">
        <v>1</v>
      </c>
      <c r="K1510" s="32" t="s">
        <v>175</v>
      </c>
      <c r="L1510" s="18">
        <f t="shared" si="23"/>
        <v>999999999</v>
      </c>
    </row>
    <row r="1511" spans="1:12" ht="15" customHeight="1" x14ac:dyDescent="0.25">
      <c r="A1511" s="32" t="s">
        <v>184</v>
      </c>
      <c r="B1511" s="32" t="s">
        <v>70</v>
      </c>
      <c r="C1511" s="32" t="s">
        <v>154</v>
      </c>
      <c r="D1511" s="32">
        <v>0</v>
      </c>
      <c r="E1511" s="32">
        <v>5000</v>
      </c>
      <c r="F1511" s="32" t="s">
        <v>173</v>
      </c>
      <c r="G1511" s="32">
        <v>27.202400000000001</v>
      </c>
      <c r="H1511" s="32">
        <v>7.2023999999999999</v>
      </c>
      <c r="I1511" s="32" t="s">
        <v>188</v>
      </c>
      <c r="J1511" s="32">
        <v>1</v>
      </c>
      <c r="K1511" s="32" t="s">
        <v>175</v>
      </c>
      <c r="L1511" s="18">
        <f t="shared" si="23"/>
        <v>999999999</v>
      </c>
    </row>
    <row r="1512" spans="1:12" ht="15" customHeight="1" x14ac:dyDescent="0.25">
      <c r="A1512" s="32" t="s">
        <v>184</v>
      </c>
      <c r="B1512" s="32" t="s">
        <v>70</v>
      </c>
      <c r="C1512" s="32" t="s">
        <v>154</v>
      </c>
      <c r="D1512" s="32">
        <v>0</v>
      </c>
      <c r="E1512" s="32">
        <v>5000</v>
      </c>
      <c r="F1512" s="32" t="s">
        <v>173</v>
      </c>
      <c r="G1512" s="32">
        <v>27.202400000000001</v>
      </c>
      <c r="H1512" s="32">
        <v>13.202400000000001</v>
      </c>
      <c r="I1512" s="32" t="s">
        <v>188</v>
      </c>
      <c r="J1512" s="32">
        <v>1</v>
      </c>
      <c r="K1512" s="32" t="s">
        <v>175</v>
      </c>
      <c r="L1512" s="18">
        <f t="shared" si="23"/>
        <v>999999999</v>
      </c>
    </row>
    <row r="1513" spans="1:12" ht="15" customHeight="1" x14ac:dyDescent="0.25">
      <c r="A1513" s="32" t="s">
        <v>184</v>
      </c>
      <c r="B1513" s="32" t="s">
        <v>70</v>
      </c>
      <c r="C1513" s="32" t="s">
        <v>154</v>
      </c>
      <c r="D1513" s="32">
        <v>0</v>
      </c>
      <c r="E1513" s="32">
        <v>5000</v>
      </c>
      <c r="F1513" s="32" t="s">
        <v>173</v>
      </c>
      <c r="G1513" s="32">
        <v>33.3172</v>
      </c>
      <c r="H1513" s="32">
        <v>10.3172</v>
      </c>
      <c r="I1513" s="32" t="s">
        <v>188</v>
      </c>
      <c r="J1513" s="32">
        <v>1</v>
      </c>
      <c r="K1513" s="32" t="s">
        <v>175</v>
      </c>
      <c r="L1513" s="18">
        <f t="shared" si="23"/>
        <v>999999999</v>
      </c>
    </row>
    <row r="1514" spans="1:12" ht="15" customHeight="1" x14ac:dyDescent="0.25">
      <c r="A1514" s="32" t="s">
        <v>185</v>
      </c>
      <c r="B1514" s="32" t="s">
        <v>154</v>
      </c>
      <c r="C1514" s="32" t="s">
        <v>154</v>
      </c>
      <c r="D1514" s="32">
        <v>0</v>
      </c>
      <c r="E1514" s="32">
        <v>5000</v>
      </c>
      <c r="F1514" s="32" t="s">
        <v>181</v>
      </c>
      <c r="G1514" s="32">
        <v>31.278400000000001</v>
      </c>
      <c r="H1514" s="32">
        <v>20.278400000000001</v>
      </c>
      <c r="I1514" s="32" t="s">
        <v>188</v>
      </c>
      <c r="J1514" s="32">
        <v>0</v>
      </c>
      <c r="K1514" s="32" t="s">
        <v>175</v>
      </c>
      <c r="L1514" s="18">
        <f t="shared" si="23"/>
        <v>999999999</v>
      </c>
    </row>
    <row r="1515" spans="1:12" ht="15" customHeight="1" x14ac:dyDescent="0.25">
      <c r="A1515" s="32" t="s">
        <v>184</v>
      </c>
      <c r="B1515" s="32" t="s">
        <v>154</v>
      </c>
      <c r="C1515" s="32" t="s">
        <v>154</v>
      </c>
      <c r="D1515" s="32">
        <v>0</v>
      </c>
      <c r="E1515" s="32">
        <v>5000</v>
      </c>
      <c r="F1515" s="32" t="s">
        <v>181</v>
      </c>
      <c r="G1515" s="32">
        <v>31.278400000000001</v>
      </c>
      <c r="H1515" s="32">
        <v>12.2784</v>
      </c>
      <c r="I1515" s="32" t="s">
        <v>188</v>
      </c>
      <c r="J1515" s="32">
        <v>0</v>
      </c>
      <c r="K1515" s="32" t="s">
        <v>175</v>
      </c>
      <c r="L1515" s="18">
        <f t="shared" si="23"/>
        <v>999999999</v>
      </c>
    </row>
    <row r="1516" spans="1:12" ht="15" customHeight="1" x14ac:dyDescent="0.25">
      <c r="A1516" s="32" t="s">
        <v>177</v>
      </c>
      <c r="B1516" s="32" t="s">
        <v>154</v>
      </c>
      <c r="C1516" s="32" t="s">
        <v>154</v>
      </c>
      <c r="D1516" s="32">
        <v>500</v>
      </c>
      <c r="E1516" s="32">
        <v>1999.99</v>
      </c>
      <c r="F1516" s="32" t="s">
        <v>173</v>
      </c>
      <c r="G1516" s="32">
        <v>27.303999999999998</v>
      </c>
      <c r="H1516" s="32">
        <v>5.8799999999999998E-2</v>
      </c>
      <c r="I1516" s="32" t="s">
        <v>174</v>
      </c>
      <c r="J1516" s="32">
        <v>0</v>
      </c>
      <c r="K1516" s="32" t="s">
        <v>175</v>
      </c>
      <c r="L1516" s="18">
        <f t="shared" si="23"/>
        <v>999999999</v>
      </c>
    </row>
    <row r="1517" spans="1:12" ht="15" customHeight="1" x14ac:dyDescent="0.25">
      <c r="A1517" s="32" t="s">
        <v>177</v>
      </c>
      <c r="B1517" s="32" t="s">
        <v>154</v>
      </c>
      <c r="C1517" s="32" t="s">
        <v>154</v>
      </c>
      <c r="D1517" s="32">
        <v>0</v>
      </c>
      <c r="E1517" s="32">
        <v>99.99</v>
      </c>
      <c r="F1517" s="32" t="s">
        <v>173</v>
      </c>
      <c r="G1517" s="32">
        <v>27.303999999999998</v>
      </c>
      <c r="H1517" s="32">
        <v>5.8799999999999998E-2</v>
      </c>
      <c r="I1517" s="32" t="s">
        <v>174</v>
      </c>
      <c r="J1517" s="32">
        <v>0</v>
      </c>
      <c r="K1517" s="32" t="s">
        <v>175</v>
      </c>
      <c r="L1517" s="18">
        <f t="shared" si="23"/>
        <v>999999999</v>
      </c>
    </row>
    <row r="1518" spans="1:12" ht="15" customHeight="1" x14ac:dyDescent="0.25">
      <c r="A1518" s="32" t="s">
        <v>177</v>
      </c>
      <c r="B1518" s="32" t="s">
        <v>154</v>
      </c>
      <c r="C1518" s="32" t="s">
        <v>154</v>
      </c>
      <c r="D1518" s="32">
        <v>100</v>
      </c>
      <c r="E1518" s="32">
        <v>249.99</v>
      </c>
      <c r="F1518" s="32" t="s">
        <v>173</v>
      </c>
      <c r="G1518" s="32">
        <v>27.303999999999998</v>
      </c>
      <c r="H1518" s="32">
        <v>5.8799999999999998E-2</v>
      </c>
      <c r="I1518" s="32" t="s">
        <v>174</v>
      </c>
      <c r="J1518" s="32">
        <v>0</v>
      </c>
      <c r="K1518" s="32" t="s">
        <v>175</v>
      </c>
      <c r="L1518" s="18">
        <f t="shared" si="23"/>
        <v>999999999</v>
      </c>
    </row>
    <row r="1519" spans="1:12" ht="15" customHeight="1" x14ac:dyDescent="0.25">
      <c r="A1519" s="32" t="s">
        <v>177</v>
      </c>
      <c r="B1519" s="32" t="s">
        <v>154</v>
      </c>
      <c r="C1519" s="32" t="s">
        <v>154</v>
      </c>
      <c r="D1519" s="32">
        <v>250</v>
      </c>
      <c r="E1519" s="32">
        <v>499.99</v>
      </c>
      <c r="F1519" s="32" t="s">
        <v>173</v>
      </c>
      <c r="G1519" s="32">
        <v>27.303999999999998</v>
      </c>
      <c r="H1519" s="32">
        <v>5.8799999999999998E-2</v>
      </c>
      <c r="I1519" s="32" t="s">
        <v>174</v>
      </c>
      <c r="J1519" s="32">
        <v>0</v>
      </c>
      <c r="K1519" s="32" t="s">
        <v>175</v>
      </c>
      <c r="L1519" s="18">
        <f t="shared" si="23"/>
        <v>999999999</v>
      </c>
    </row>
    <row r="1520" spans="1:12" ht="15" customHeight="1" x14ac:dyDescent="0.25">
      <c r="A1520" s="32" t="s">
        <v>177</v>
      </c>
      <c r="B1520" s="32" t="s">
        <v>154</v>
      </c>
      <c r="C1520" s="32" t="s">
        <v>154</v>
      </c>
      <c r="D1520" s="32">
        <v>2000</v>
      </c>
      <c r="E1520" s="32">
        <v>99999.99</v>
      </c>
      <c r="F1520" s="32" t="s">
        <v>173</v>
      </c>
      <c r="G1520" s="32">
        <v>27.303999999999998</v>
      </c>
      <c r="H1520" s="32">
        <v>5.8799999999999998E-2</v>
      </c>
      <c r="I1520" s="32" t="s">
        <v>174</v>
      </c>
      <c r="J1520" s="32">
        <v>0</v>
      </c>
      <c r="K1520" s="32" t="s">
        <v>175</v>
      </c>
      <c r="L1520" s="18">
        <f t="shared" si="23"/>
        <v>999999999</v>
      </c>
    </row>
    <row r="1521" spans="1:12" ht="15" customHeight="1" x14ac:dyDescent="0.25">
      <c r="A1521" s="32" t="s">
        <v>184</v>
      </c>
      <c r="B1521" s="32" t="s">
        <v>154</v>
      </c>
      <c r="C1521" s="32" t="s">
        <v>154</v>
      </c>
      <c r="D1521" s="32">
        <v>0</v>
      </c>
      <c r="E1521" s="32">
        <v>5000</v>
      </c>
      <c r="F1521" s="32" t="s">
        <v>173</v>
      </c>
      <c r="G1521" s="32">
        <v>31.278400000000001</v>
      </c>
      <c r="H1521" s="32">
        <v>13.2784</v>
      </c>
      <c r="I1521" s="32" t="s">
        <v>188</v>
      </c>
      <c r="J1521" s="32">
        <v>0</v>
      </c>
      <c r="K1521" s="32" t="s">
        <v>175</v>
      </c>
      <c r="L1521" s="18">
        <f t="shared" si="23"/>
        <v>999999999</v>
      </c>
    </row>
    <row r="1522" spans="1:12" ht="15" customHeight="1" x14ac:dyDescent="0.25">
      <c r="A1522" s="32" t="s">
        <v>177</v>
      </c>
      <c r="B1522" s="32" t="s">
        <v>178</v>
      </c>
      <c r="C1522" s="32" t="s">
        <v>154</v>
      </c>
      <c r="D1522" s="32">
        <v>100</v>
      </c>
      <c r="E1522" s="32">
        <v>249.99</v>
      </c>
      <c r="F1522" s="32" t="s">
        <v>173</v>
      </c>
      <c r="G1522" s="32">
        <v>27.788399999999999</v>
      </c>
      <c r="H1522" s="32">
        <v>0.20280000000000001</v>
      </c>
      <c r="I1522" s="32" t="s">
        <v>174</v>
      </c>
      <c r="J1522" s="32">
        <v>0</v>
      </c>
      <c r="K1522" s="32" t="s">
        <v>175</v>
      </c>
      <c r="L1522" s="18">
        <f t="shared" si="23"/>
        <v>999999999</v>
      </c>
    </row>
    <row r="1523" spans="1:12" ht="15" customHeight="1" x14ac:dyDescent="0.25">
      <c r="A1523" s="32" t="s">
        <v>177</v>
      </c>
      <c r="B1523" s="32" t="s">
        <v>178</v>
      </c>
      <c r="C1523" s="32" t="s">
        <v>154</v>
      </c>
      <c r="D1523" s="32">
        <v>2000</v>
      </c>
      <c r="E1523" s="32">
        <v>99999.99</v>
      </c>
      <c r="F1523" s="32" t="s">
        <v>173</v>
      </c>
      <c r="G1523" s="32">
        <v>27.788399999999999</v>
      </c>
      <c r="H1523" s="32">
        <v>0.20280000000000001</v>
      </c>
      <c r="I1523" s="32" t="s">
        <v>174</v>
      </c>
      <c r="J1523" s="32">
        <v>0</v>
      </c>
      <c r="K1523" s="32" t="s">
        <v>175</v>
      </c>
      <c r="L1523" s="18">
        <f t="shared" si="23"/>
        <v>999999999</v>
      </c>
    </row>
    <row r="1524" spans="1:12" ht="15" customHeight="1" x14ac:dyDescent="0.25">
      <c r="A1524" s="32" t="s">
        <v>177</v>
      </c>
      <c r="B1524" s="32" t="s">
        <v>178</v>
      </c>
      <c r="C1524" s="32" t="s">
        <v>154</v>
      </c>
      <c r="D1524" s="32">
        <v>250</v>
      </c>
      <c r="E1524" s="32">
        <v>499.99</v>
      </c>
      <c r="F1524" s="32" t="s">
        <v>173</v>
      </c>
      <c r="G1524" s="32">
        <v>27.788399999999999</v>
      </c>
      <c r="H1524" s="32">
        <v>0.20280000000000001</v>
      </c>
      <c r="I1524" s="32" t="s">
        <v>174</v>
      </c>
      <c r="J1524" s="32">
        <v>0</v>
      </c>
      <c r="K1524" s="32" t="s">
        <v>175</v>
      </c>
      <c r="L1524" s="18">
        <f t="shared" si="23"/>
        <v>999999999</v>
      </c>
    </row>
    <row r="1525" spans="1:12" ht="15" customHeight="1" x14ac:dyDescent="0.25">
      <c r="A1525" s="32" t="s">
        <v>177</v>
      </c>
      <c r="B1525" s="32" t="s">
        <v>178</v>
      </c>
      <c r="C1525" s="32" t="s">
        <v>154</v>
      </c>
      <c r="D1525" s="32">
        <v>0</v>
      </c>
      <c r="E1525" s="32">
        <v>99.99</v>
      </c>
      <c r="F1525" s="32" t="s">
        <v>173</v>
      </c>
      <c r="G1525" s="32">
        <v>27.788399999999999</v>
      </c>
      <c r="H1525" s="32">
        <v>0.3448</v>
      </c>
      <c r="I1525" s="32" t="s">
        <v>174</v>
      </c>
      <c r="J1525" s="32">
        <v>0</v>
      </c>
      <c r="K1525" s="32" t="s">
        <v>175</v>
      </c>
      <c r="L1525" s="18">
        <f t="shared" si="23"/>
        <v>999999999</v>
      </c>
    </row>
    <row r="1526" spans="1:12" ht="15" customHeight="1" x14ac:dyDescent="0.25">
      <c r="A1526" s="32" t="s">
        <v>177</v>
      </c>
      <c r="B1526" s="32" t="s">
        <v>178</v>
      </c>
      <c r="C1526" s="32" t="s">
        <v>154</v>
      </c>
      <c r="D1526" s="32">
        <v>500</v>
      </c>
      <c r="E1526" s="32">
        <v>1999.99</v>
      </c>
      <c r="F1526" s="32" t="s">
        <v>173</v>
      </c>
      <c r="G1526" s="32">
        <v>27.788399999999999</v>
      </c>
      <c r="H1526" s="32">
        <v>0.20280000000000001</v>
      </c>
      <c r="I1526" s="32" t="s">
        <v>174</v>
      </c>
      <c r="J1526" s="32">
        <v>0</v>
      </c>
      <c r="K1526" s="32" t="s">
        <v>175</v>
      </c>
      <c r="L1526" s="18">
        <f t="shared" si="23"/>
        <v>999999999</v>
      </c>
    </row>
    <row r="1527" spans="1:12" ht="15" customHeight="1" x14ac:dyDescent="0.25">
      <c r="A1527" s="32" t="s">
        <v>177</v>
      </c>
      <c r="B1527" s="32" t="s">
        <v>59</v>
      </c>
      <c r="C1527" s="32" t="s">
        <v>154</v>
      </c>
      <c r="D1527" s="32">
        <v>0</v>
      </c>
      <c r="E1527" s="32">
        <v>99.99</v>
      </c>
      <c r="F1527" s="32" t="s">
        <v>173</v>
      </c>
      <c r="G1527" s="32">
        <v>31.961200000000002</v>
      </c>
      <c r="H1527" s="32">
        <v>0.18160000000000001</v>
      </c>
      <c r="I1527" s="32" t="s">
        <v>174</v>
      </c>
      <c r="J1527" s="32">
        <v>0</v>
      </c>
      <c r="K1527" s="32" t="s">
        <v>175</v>
      </c>
      <c r="L1527" s="18">
        <f t="shared" si="23"/>
        <v>999999999</v>
      </c>
    </row>
    <row r="1528" spans="1:12" ht="15" customHeight="1" x14ac:dyDescent="0.25">
      <c r="A1528" s="32" t="s">
        <v>177</v>
      </c>
      <c r="B1528" s="32" t="s">
        <v>59</v>
      </c>
      <c r="C1528" s="32" t="s">
        <v>154</v>
      </c>
      <c r="D1528" s="32">
        <v>2000</v>
      </c>
      <c r="E1528" s="32">
        <v>99999.99</v>
      </c>
      <c r="F1528" s="32" t="s">
        <v>173</v>
      </c>
      <c r="G1528" s="32">
        <v>31.961200000000002</v>
      </c>
      <c r="H1528" s="32">
        <v>0.18160000000000001</v>
      </c>
      <c r="I1528" s="32" t="s">
        <v>174</v>
      </c>
      <c r="J1528" s="32">
        <v>0</v>
      </c>
      <c r="K1528" s="32" t="s">
        <v>175</v>
      </c>
      <c r="L1528" s="18">
        <f t="shared" si="23"/>
        <v>148754.50740000003</v>
      </c>
    </row>
    <row r="1529" spans="1:12" ht="15" customHeight="1" x14ac:dyDescent="0.25">
      <c r="A1529" s="32" t="s">
        <v>177</v>
      </c>
      <c r="B1529" s="32" t="s">
        <v>59</v>
      </c>
      <c r="C1529" s="32" t="s">
        <v>154</v>
      </c>
      <c r="D1529" s="32">
        <v>250</v>
      </c>
      <c r="E1529" s="32">
        <v>499.99</v>
      </c>
      <c r="F1529" s="32" t="s">
        <v>173</v>
      </c>
      <c r="G1529" s="32">
        <v>31.961200000000002</v>
      </c>
      <c r="H1529" s="32">
        <v>0.18160000000000001</v>
      </c>
      <c r="I1529" s="32" t="s">
        <v>174</v>
      </c>
      <c r="J1529" s="32">
        <v>0</v>
      </c>
      <c r="K1529" s="32" t="s">
        <v>175</v>
      </c>
      <c r="L1529" s="18">
        <f t="shared" si="23"/>
        <v>999999999</v>
      </c>
    </row>
    <row r="1530" spans="1:12" ht="15" customHeight="1" x14ac:dyDescent="0.25">
      <c r="A1530" s="32" t="s">
        <v>177</v>
      </c>
      <c r="B1530" s="32" t="s">
        <v>59</v>
      </c>
      <c r="C1530" s="32" t="s">
        <v>154</v>
      </c>
      <c r="D1530" s="32">
        <v>500</v>
      </c>
      <c r="E1530" s="32">
        <v>1999.99</v>
      </c>
      <c r="F1530" s="32" t="s">
        <v>173</v>
      </c>
      <c r="G1530" s="32">
        <v>31.961200000000002</v>
      </c>
      <c r="H1530" s="32">
        <v>0.18160000000000001</v>
      </c>
      <c r="I1530" s="32" t="s">
        <v>174</v>
      </c>
      <c r="J1530" s="32">
        <v>0</v>
      </c>
      <c r="K1530" s="32" t="s">
        <v>175</v>
      </c>
      <c r="L1530" s="18">
        <f t="shared" si="23"/>
        <v>999999999</v>
      </c>
    </row>
    <row r="1531" spans="1:12" ht="15" customHeight="1" x14ac:dyDescent="0.25">
      <c r="A1531" s="32" t="s">
        <v>177</v>
      </c>
      <c r="B1531" s="32" t="s">
        <v>59</v>
      </c>
      <c r="C1531" s="32" t="s">
        <v>154</v>
      </c>
      <c r="D1531" s="32">
        <v>100</v>
      </c>
      <c r="E1531" s="32">
        <v>249.99</v>
      </c>
      <c r="F1531" s="32" t="s">
        <v>173</v>
      </c>
      <c r="G1531" s="32">
        <v>31.961200000000002</v>
      </c>
      <c r="H1531" s="32">
        <v>0.18160000000000001</v>
      </c>
      <c r="I1531" s="32" t="s">
        <v>174</v>
      </c>
      <c r="J1531" s="32">
        <v>0</v>
      </c>
      <c r="K1531" s="32" t="s">
        <v>175</v>
      </c>
      <c r="L1531" s="18">
        <f t="shared" si="23"/>
        <v>999999999</v>
      </c>
    </row>
    <row r="1532" spans="1:12" ht="15" customHeight="1" x14ac:dyDescent="0.25">
      <c r="A1532" s="32" t="s">
        <v>177</v>
      </c>
      <c r="B1532" s="32" t="s">
        <v>52</v>
      </c>
      <c r="C1532" s="32" t="s">
        <v>154</v>
      </c>
      <c r="D1532" s="32">
        <v>500</v>
      </c>
      <c r="E1532" s="32">
        <v>1999.99</v>
      </c>
      <c r="F1532" s="32" t="s">
        <v>173</v>
      </c>
      <c r="G1532" s="32">
        <v>27.038399999999999</v>
      </c>
      <c r="H1532" s="32">
        <v>0.124</v>
      </c>
      <c r="I1532" s="32" t="s">
        <v>174</v>
      </c>
      <c r="J1532" s="32">
        <v>0</v>
      </c>
      <c r="K1532" s="32" t="s">
        <v>175</v>
      </c>
      <c r="L1532" s="18">
        <f t="shared" si="23"/>
        <v>999999999</v>
      </c>
    </row>
    <row r="1533" spans="1:12" ht="15" customHeight="1" x14ac:dyDescent="0.25">
      <c r="A1533" s="32" t="s">
        <v>177</v>
      </c>
      <c r="B1533" s="32" t="s">
        <v>52</v>
      </c>
      <c r="C1533" s="32" t="s">
        <v>154</v>
      </c>
      <c r="D1533" s="32">
        <v>2000</v>
      </c>
      <c r="E1533" s="32">
        <v>99999.99</v>
      </c>
      <c r="F1533" s="32" t="s">
        <v>173</v>
      </c>
      <c r="G1533" s="32">
        <v>27.038399999999999</v>
      </c>
      <c r="H1533" s="32">
        <v>0.124</v>
      </c>
      <c r="I1533" s="32" t="s">
        <v>174</v>
      </c>
      <c r="J1533" s="32">
        <v>0</v>
      </c>
      <c r="K1533" s="32" t="s">
        <v>175</v>
      </c>
      <c r="L1533" s="18">
        <f t="shared" si="23"/>
        <v>999999999</v>
      </c>
    </row>
    <row r="1534" spans="1:12" ht="15" customHeight="1" x14ac:dyDescent="0.25">
      <c r="A1534" s="32" t="s">
        <v>177</v>
      </c>
      <c r="B1534" s="32" t="s">
        <v>52</v>
      </c>
      <c r="C1534" s="32" t="s">
        <v>154</v>
      </c>
      <c r="D1534" s="32">
        <v>100</v>
      </c>
      <c r="E1534" s="32">
        <v>249.99</v>
      </c>
      <c r="F1534" s="32" t="s">
        <v>173</v>
      </c>
      <c r="G1534" s="32">
        <v>27.038399999999999</v>
      </c>
      <c r="H1534" s="32">
        <v>0.124</v>
      </c>
      <c r="I1534" s="32" t="s">
        <v>174</v>
      </c>
      <c r="J1534" s="32">
        <v>0</v>
      </c>
      <c r="K1534" s="32" t="s">
        <v>175</v>
      </c>
      <c r="L1534" s="18">
        <f t="shared" si="23"/>
        <v>999999999</v>
      </c>
    </row>
    <row r="1535" spans="1:12" ht="15" customHeight="1" x14ac:dyDescent="0.25">
      <c r="A1535" s="32" t="s">
        <v>177</v>
      </c>
      <c r="B1535" s="32" t="s">
        <v>52</v>
      </c>
      <c r="C1535" s="32" t="s">
        <v>154</v>
      </c>
      <c r="D1535" s="32">
        <v>250</v>
      </c>
      <c r="E1535" s="32">
        <v>499.99</v>
      </c>
      <c r="F1535" s="32" t="s">
        <v>173</v>
      </c>
      <c r="G1535" s="32">
        <v>27.038399999999999</v>
      </c>
      <c r="H1535" s="32">
        <v>0.124</v>
      </c>
      <c r="I1535" s="32" t="s">
        <v>174</v>
      </c>
      <c r="J1535" s="32">
        <v>0</v>
      </c>
      <c r="K1535" s="32" t="s">
        <v>175</v>
      </c>
      <c r="L1535" s="18">
        <f t="shared" si="23"/>
        <v>999999999</v>
      </c>
    </row>
    <row r="1536" spans="1:12" ht="15" customHeight="1" x14ac:dyDescent="0.25">
      <c r="A1536" s="32" t="s">
        <v>177</v>
      </c>
      <c r="B1536" s="32" t="s">
        <v>52</v>
      </c>
      <c r="C1536" s="32" t="s">
        <v>154</v>
      </c>
      <c r="D1536" s="32">
        <v>0</v>
      </c>
      <c r="E1536" s="32">
        <v>99.99</v>
      </c>
      <c r="F1536" s="32" t="s">
        <v>173</v>
      </c>
      <c r="G1536" s="32">
        <v>27.038399999999999</v>
      </c>
      <c r="H1536" s="32">
        <v>0.124</v>
      </c>
      <c r="I1536" s="32" t="s">
        <v>174</v>
      </c>
      <c r="J1536" s="32">
        <v>0</v>
      </c>
      <c r="K1536" s="32" t="s">
        <v>175</v>
      </c>
      <c r="L1536" s="18">
        <f t="shared" si="23"/>
        <v>999999999</v>
      </c>
    </row>
    <row r="1537" spans="1:12" ht="15" customHeight="1" x14ac:dyDescent="0.25">
      <c r="A1537" s="32" t="s">
        <v>177</v>
      </c>
      <c r="B1537" s="32" t="s">
        <v>70</v>
      </c>
      <c r="C1537" s="32" t="s">
        <v>154</v>
      </c>
      <c r="D1537" s="32">
        <v>0</v>
      </c>
      <c r="E1537" s="32">
        <v>99.99</v>
      </c>
      <c r="F1537" s="32" t="s">
        <v>173</v>
      </c>
      <c r="G1537" s="32">
        <v>29.339200000000002</v>
      </c>
      <c r="H1537" s="32">
        <v>0.41160000000000002</v>
      </c>
      <c r="I1537" s="32" t="s">
        <v>174</v>
      </c>
      <c r="J1537" s="32">
        <v>0</v>
      </c>
      <c r="K1537" s="32" t="s">
        <v>175</v>
      </c>
      <c r="L1537" s="18">
        <f t="shared" si="23"/>
        <v>999999999</v>
      </c>
    </row>
    <row r="1538" spans="1:12" ht="15" customHeight="1" x14ac:dyDescent="0.25">
      <c r="A1538" s="32" t="s">
        <v>177</v>
      </c>
      <c r="B1538" s="32" t="s">
        <v>70</v>
      </c>
      <c r="C1538" s="32" t="s">
        <v>154</v>
      </c>
      <c r="D1538" s="32">
        <v>500</v>
      </c>
      <c r="E1538" s="32">
        <v>1999.99</v>
      </c>
      <c r="F1538" s="32" t="s">
        <v>173</v>
      </c>
      <c r="G1538" s="32">
        <v>29.339200000000002</v>
      </c>
      <c r="H1538" s="32">
        <v>0.31119999999999998</v>
      </c>
      <c r="I1538" s="32" t="s">
        <v>174</v>
      </c>
      <c r="J1538" s="32">
        <v>0</v>
      </c>
      <c r="K1538" s="32" t="s">
        <v>175</v>
      </c>
      <c r="L1538" s="18">
        <f t="shared" si="23"/>
        <v>999999999</v>
      </c>
    </row>
    <row r="1539" spans="1:12" ht="15" customHeight="1" x14ac:dyDescent="0.25">
      <c r="A1539" s="32" t="s">
        <v>177</v>
      </c>
      <c r="B1539" s="32" t="s">
        <v>70</v>
      </c>
      <c r="C1539" s="32" t="s">
        <v>154</v>
      </c>
      <c r="D1539" s="32">
        <v>250</v>
      </c>
      <c r="E1539" s="32">
        <v>499.99</v>
      </c>
      <c r="F1539" s="32" t="s">
        <v>173</v>
      </c>
      <c r="G1539" s="32">
        <v>29.339200000000002</v>
      </c>
      <c r="H1539" s="32">
        <v>0.41160000000000002</v>
      </c>
      <c r="I1539" s="32" t="s">
        <v>174</v>
      </c>
      <c r="J1539" s="32">
        <v>0</v>
      </c>
      <c r="K1539" s="32" t="s">
        <v>175</v>
      </c>
      <c r="L1539" s="18">
        <f t="shared" si="23"/>
        <v>999999999</v>
      </c>
    </row>
    <row r="1540" spans="1:12" ht="15" customHeight="1" x14ac:dyDescent="0.25">
      <c r="A1540" s="32" t="s">
        <v>177</v>
      </c>
      <c r="B1540" s="32" t="s">
        <v>70</v>
      </c>
      <c r="C1540" s="32" t="s">
        <v>154</v>
      </c>
      <c r="D1540" s="32">
        <v>2000</v>
      </c>
      <c r="E1540" s="32">
        <v>99999.99</v>
      </c>
      <c r="F1540" s="32" t="s">
        <v>173</v>
      </c>
      <c r="G1540" s="32">
        <v>29.339200000000002</v>
      </c>
      <c r="H1540" s="32">
        <v>0.31119999999999998</v>
      </c>
      <c r="I1540" s="32" t="s">
        <v>174</v>
      </c>
      <c r="J1540" s="32">
        <v>0</v>
      </c>
      <c r="K1540" s="32" t="s">
        <v>175</v>
      </c>
      <c r="L1540" s="18">
        <f t="shared" si="23"/>
        <v>999999999</v>
      </c>
    </row>
    <row r="1541" spans="1:12" ht="15" customHeight="1" x14ac:dyDescent="0.25">
      <c r="A1541" s="32" t="s">
        <v>177</v>
      </c>
      <c r="B1541" s="32" t="s">
        <v>70</v>
      </c>
      <c r="C1541" s="32" t="s">
        <v>154</v>
      </c>
      <c r="D1541" s="32">
        <v>100</v>
      </c>
      <c r="E1541" s="32">
        <v>249.99</v>
      </c>
      <c r="F1541" s="32" t="s">
        <v>173</v>
      </c>
      <c r="G1541" s="32">
        <v>29.339200000000002</v>
      </c>
      <c r="H1541" s="32">
        <v>0.41160000000000002</v>
      </c>
      <c r="I1541" s="32" t="s">
        <v>174</v>
      </c>
      <c r="J1541" s="32">
        <v>0</v>
      </c>
      <c r="K1541" s="32" t="s">
        <v>175</v>
      </c>
      <c r="L1541" s="18">
        <f t="shared" si="23"/>
        <v>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ReadMe</vt:lpstr>
      <vt:lpstr>Sensitivity Calculator</vt:lpstr>
      <vt:lpstr>Freight Quoting Tool</vt:lpstr>
      <vt:lpstr>Solver Demo (3x4)</vt:lpstr>
      <vt:lpstr>Solver Demo - Answer Key</vt:lpstr>
      <vt:lpstr>Data - Plants</vt:lpstr>
      <vt:lpstr>Data - Zones</vt:lpstr>
      <vt:lpstr>Data - Lane Distances</vt:lpstr>
      <vt:lpstr>Data - Freight Rates</vt:lpstr>
      <vt:lpstr>Quote_2Day</vt:lpstr>
      <vt:lpstr>Quote_Port</vt:lpstr>
      <vt:lpstr>Quote_USDINR</vt:lpstr>
      <vt:lpstr>Quote_Weight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2026-08-15T11:23:23Z</dcterms:created>
  <dcterms:modified xsi:type="dcterms:W3CDTF">2026-08-15T13:04:31Z</dcterms:modified>
  <dc:language>en-US</dc:language>
</cp:coreProperties>
</file>